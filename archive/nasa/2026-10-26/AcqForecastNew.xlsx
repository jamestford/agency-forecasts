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alagheb\Desktop\NAF\10_2026 Q1fy27\"/>
    </mc:Choice>
  </mc:AlternateContent>
  <xr:revisionPtr revIDLastSave="0" documentId="8_{E34086CA-06D9-4720-9DCE-E2D48EA26BD7}" xr6:coauthVersionLast="47" xr6:coauthVersionMax="47" xr10:uidLastSave="{00000000-0000-0000-0000-000000000000}"/>
  <bookViews>
    <workbookView xWindow="-105" yWindow="0" windowWidth="26010" windowHeight="20985" xr2:uid="{81E2EEFD-06C1-4855-9125-21245FF3511C}"/>
  </bookViews>
  <sheets>
    <sheet name="Forecast" sheetId="1" r:id="rId1"/>
  </sheets>
  <definedNames>
    <definedName name="query" localSheetId="0" hidden="1">Forecast!$A$1:$AT$137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T137" i="1" l="1"/>
  <c r="T136" i="1"/>
  <c r="T135" i="1"/>
  <c r="T134" i="1"/>
  <c r="T133" i="1"/>
  <c r="T132" i="1"/>
  <c r="T131" i="1"/>
  <c r="T130" i="1"/>
  <c r="T129" i="1"/>
  <c r="T128" i="1"/>
  <c r="T127" i="1"/>
  <c r="T126" i="1"/>
  <c r="T125" i="1"/>
  <c r="T124" i="1"/>
  <c r="T123" i="1"/>
  <c r="T122" i="1"/>
  <c r="T121" i="1"/>
  <c r="T120" i="1"/>
  <c r="T119" i="1"/>
  <c r="T118" i="1"/>
  <c r="T117" i="1"/>
  <c r="T116" i="1"/>
  <c r="T115" i="1"/>
  <c r="T114" i="1"/>
  <c r="T113" i="1"/>
  <c r="T112" i="1"/>
  <c r="T111" i="1"/>
  <c r="T110" i="1"/>
  <c r="T109" i="1"/>
  <c r="T108" i="1"/>
  <c r="T107" i="1"/>
  <c r="T106" i="1"/>
  <c r="T105" i="1"/>
  <c r="T104" i="1"/>
  <c r="T103" i="1"/>
  <c r="T102" i="1"/>
  <c r="T101" i="1"/>
  <c r="T100" i="1"/>
  <c r="T99" i="1"/>
  <c r="T98" i="1"/>
  <c r="T97" i="1"/>
  <c r="T96" i="1"/>
  <c r="T95" i="1"/>
  <c r="T94" i="1"/>
  <c r="T93" i="1"/>
  <c r="T92" i="1"/>
  <c r="T91" i="1"/>
  <c r="T90" i="1"/>
  <c r="T89" i="1"/>
  <c r="T88" i="1"/>
  <c r="T87" i="1"/>
  <c r="T86" i="1"/>
  <c r="T85" i="1"/>
  <c r="T84" i="1"/>
  <c r="T83" i="1"/>
  <c r="T82" i="1"/>
  <c r="T81" i="1"/>
  <c r="T80" i="1"/>
  <c r="T79" i="1"/>
  <c r="T78" i="1"/>
  <c r="T77" i="1"/>
  <c r="T76" i="1"/>
  <c r="T75" i="1"/>
  <c r="T74" i="1"/>
  <c r="T73" i="1"/>
  <c r="T72" i="1"/>
  <c r="T71" i="1"/>
  <c r="T70" i="1"/>
  <c r="T69" i="1"/>
  <c r="T68" i="1"/>
  <c r="T67" i="1"/>
  <c r="T66" i="1"/>
  <c r="T65" i="1"/>
  <c r="T64" i="1"/>
  <c r="T63" i="1"/>
  <c r="T62" i="1"/>
  <c r="T61" i="1"/>
  <c r="T60" i="1"/>
  <c r="T59" i="1"/>
  <c r="T58" i="1"/>
  <c r="T57" i="1"/>
  <c r="T56" i="1"/>
  <c r="T55" i="1"/>
  <c r="T54" i="1"/>
  <c r="T53" i="1"/>
  <c r="T52" i="1"/>
  <c r="T51" i="1"/>
  <c r="T50" i="1"/>
  <c r="T49" i="1"/>
  <c r="T48" i="1"/>
  <c r="T47" i="1"/>
  <c r="T46" i="1"/>
  <c r="T45"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781E9D-189B-4795-ADE0-C37B4922AD54}" keepAlive="1" name="query" type="5" refreshedVersion="8" minRefreshableVersion="3" deleted="1" saveData="1">
    <dbPr connection="" command="" commandType="5"/>
  </connection>
</connections>
</file>

<file path=xl/sharedStrings.xml><?xml version="1.0" encoding="utf-8"?>
<sst xmlns="http://schemas.openxmlformats.org/spreadsheetml/2006/main" count="5321" uniqueCount="1096">
  <si>
    <t>BuyingOffice</t>
  </si>
  <si>
    <t>BuyingOfficeCode</t>
  </si>
  <si>
    <t>Review Status</t>
  </si>
  <si>
    <t>AcquisitionStatus</t>
  </si>
  <si>
    <t>AwardedOrWithdrawn</t>
  </si>
  <si>
    <t>AcquisitionPhase</t>
  </si>
  <si>
    <t>SourceID</t>
  </si>
  <si>
    <t>TitleOfRequirement</t>
  </si>
  <si>
    <t>TechnicalPOC</t>
  </si>
  <si>
    <t>Tech POC Name</t>
  </si>
  <si>
    <t>PlaceOfPerformanceState</t>
  </si>
  <si>
    <t>PlaceOfPerformanceCountry</t>
  </si>
  <si>
    <t>NAICS</t>
  </si>
  <si>
    <t>PSC Code</t>
  </si>
  <si>
    <t>PSC Code Description</t>
  </si>
  <si>
    <t>HQMissionDirectorate</t>
  </si>
  <si>
    <t>NAICS Description</t>
  </si>
  <si>
    <t>FundingSource</t>
  </si>
  <si>
    <t>SmallBusinessSpecialistPOC</t>
  </si>
  <si>
    <t>SmallBusinessSpecialistEmail</t>
  </si>
  <si>
    <t>AnticipatedFYAward</t>
  </si>
  <si>
    <t>Anticipated Qtr of Award</t>
  </si>
  <si>
    <t>NewOrRecompete</t>
  </si>
  <si>
    <t>EstimatedContractValue</t>
  </si>
  <si>
    <t>PlaceOfPerformanceCity</t>
  </si>
  <si>
    <t>SetAsideType</t>
  </si>
  <si>
    <t>ContractType</t>
  </si>
  <si>
    <t>ProductServiceLine</t>
  </si>
  <si>
    <t>FY-QTR_POPStart</t>
  </si>
  <si>
    <t>Summary</t>
  </si>
  <si>
    <t>Est Value Base</t>
  </si>
  <si>
    <t>Est Value Option(s)</t>
  </si>
  <si>
    <t>GrantOrCooperativeAgreement</t>
  </si>
  <si>
    <t>ReasonForWithdraw</t>
  </si>
  <si>
    <t>QtrSolOrNOFORelease</t>
  </si>
  <si>
    <t>FYofSolOrNOFORelease</t>
  </si>
  <si>
    <t>PeriodOfPerformance</t>
  </si>
  <si>
    <t>Type of Award/Contract Vehicle</t>
  </si>
  <si>
    <t>TypeOfRequirement</t>
  </si>
  <si>
    <t>ExtentCompeted</t>
  </si>
  <si>
    <t>Options?</t>
  </si>
  <si>
    <t>EstBasePOP</t>
  </si>
  <si>
    <t>EstOptionsPOP</t>
  </si>
  <si>
    <t>Description</t>
  </si>
  <si>
    <t>Item Type</t>
  </si>
  <si>
    <t>Path</t>
  </si>
  <si>
    <t>MSFC</t>
  </si>
  <si>
    <t>PS30</t>
  </si>
  <si>
    <t>Approved</t>
  </si>
  <si>
    <t>Awarded</t>
  </si>
  <si>
    <t>Evaluation Stage</t>
  </si>
  <si>
    <t>Consolidated Program Support Services (CPSS) Program Planning and Control (PP&amp;C) II</t>
  </si>
  <si>
    <t>richard.t.fischer@nasa.gov</t>
  </si>
  <si>
    <t>Fike, Miranda B (MSFC-PA20)</t>
  </si>
  <si>
    <t>AL</t>
  </si>
  <si>
    <t>United States</t>
  </si>
  <si>
    <t>541715</t>
  </si>
  <si>
    <t>R408</t>
  </si>
  <si>
    <t>SUPPORT- PROFESSIONAL: PROGRAM MANAGEMENT/SUPPORT</t>
  </si>
  <si>
    <t>Office of the Chief Financial Officer (OCFO)</t>
  </si>
  <si>
    <t xml:space="preserve">Research and Development in the Physical, Engineering, and Life Sciences (except Nanotechnology and Biotechnology) </t>
  </si>
  <si>
    <t>Agency Funded</t>
  </si>
  <si>
    <t>Barnes, Danielle R. (MSFC-PS01)</t>
  </si>
  <si>
    <t>msfc-smallbusiness@mail.nasa.gov</t>
  </si>
  <si>
    <t>2026</t>
  </si>
  <si>
    <t>Q3</t>
  </si>
  <si>
    <t>Re-compete</t>
  </si>
  <si>
    <t>$250M - $500M</t>
  </si>
  <si>
    <t>TBD</t>
  </si>
  <si>
    <t>Small Business Set Aside - Total</t>
  </si>
  <si>
    <t>Cost Plus Fixed Fee</t>
  </si>
  <si>
    <t>PP&amp;C</t>
  </si>
  <si>
    <t>2026 Q3</t>
  </si>
  <si>
    <t>$100M - $250M</t>
  </si>
  <si>
    <t>No</t>
  </si>
  <si>
    <t>2025</t>
  </si>
  <si>
    <t>5 years</t>
  </si>
  <si>
    <t>Services</t>
  </si>
  <si>
    <t>Full and Open Competition after exclusion of sources</t>
  </si>
  <si>
    <t>Yes</t>
  </si>
  <si>
    <t>2 years</t>
  </si>
  <si>
    <t>3 years</t>
  </si>
  <si>
    <t>This requirement provides PP&amp;C support to multiple programs and projects across various NASA Centers in accordance with the NASA FAR Supplement Appendix A Enterprise Procurement Strategy. These services include program, planning and control in the areas of integration, earned value management, cost estimating and cost analysis, resource data storage and retrieval library, scheduling, and risk management.</t>
  </si>
  <si>
    <t>Item</t>
  </si>
  <si>
    <t>sites/op-acquisitionforecast/Lists/AcqForecast</t>
  </si>
  <si>
    <t>PS50</t>
  </si>
  <si>
    <t>Revised</t>
  </si>
  <si>
    <t>N/A</t>
  </si>
  <si>
    <t>Engineering Services and Science Capability Augmentation (ESSCA) II</t>
  </si>
  <si>
    <t>erin.h.richardson@nasa.gov</t>
  </si>
  <si>
    <t>Richardson, Erin H (MSFC-EM01)</t>
  </si>
  <si>
    <t>R425</t>
  </si>
  <si>
    <t>SUPPORT- PROFESSIONAL: ENGINEERING/TECHNICAL</t>
  </si>
  <si>
    <t>Office of the Chief Engineer</t>
  </si>
  <si>
    <t>2027</t>
  </si>
  <si>
    <t>Q2</t>
  </si>
  <si>
    <t>Over $1B</t>
  </si>
  <si>
    <t>Huntsville</t>
  </si>
  <si>
    <t>No set aside used</t>
  </si>
  <si>
    <t>Cost Plus Award Fee</t>
  </si>
  <si>
    <t>Engineering</t>
  </si>
  <si>
    <t>2027 Q2</t>
  </si>
  <si>
    <t>The Engineering Services and Science Capability Augmentation (ESSCA) II requirement is anticipated to provide services and skills across a broad spectrum of engineering and science disciplines for Marshall Space Flight Center (inclusive of Michoud Assembly Facility) and Stennis Space Center. The contract will be accessible to all other centers.</t>
  </si>
  <si>
    <t>More than 5 years</t>
  </si>
  <si>
    <t>New Single Award IDIQ contract</t>
  </si>
  <si>
    <t>Full and Open Competition</t>
  </si>
  <si>
    <t>The ESSCA II contract will support research, design, development, analysis, testing, operations, and sustaining engineering in disciplines including, but not limited to advanced propulsion, aerosciences, avionics and electrical systems, electrical engineering, flight software and ground test, guidance, navigation and control, manufacturing and assembly, materials and processes, natural and induces environments, operability, optics, propulsion systems, scientific disciplines, structural and mechanical, systems engineering, test design and operations, and thermal and fluids.</t>
  </si>
  <si>
    <t>PS20</t>
  </si>
  <si>
    <t>Acquisition Planning</t>
  </si>
  <si>
    <t>Marshall Engineering Technicians and Trades Support (METTS) IV</t>
  </si>
  <si>
    <t>james.n.booker@nasa.gov</t>
  </si>
  <si>
    <t>Tapscott, Myron H. (MSFC-ED10)</t>
  </si>
  <si>
    <t>Mission Support Directorate (MSD)</t>
  </si>
  <si>
    <t>2029</t>
  </si>
  <si>
    <t>Q1</t>
  </si>
  <si>
    <t>To Be Determined</t>
  </si>
  <si>
    <t>2029 Q1</t>
  </si>
  <si>
    <t>Marshall Engineering Technicians and Trades Support (METTS) IV.  The Contractor provides direct support to the MSFC Engineering Directorate (ED), the Facilities Management Office (FMO), and other MSFC programs and projects requiring engineering technician and trade support services.</t>
  </si>
  <si>
    <t>$50.1M - $100M</t>
  </si>
  <si>
    <t>2028</t>
  </si>
  <si>
    <t>1 year</t>
  </si>
  <si>
    <t>The METTS IV Contractor shall perform engineering technicians and trades support services and shall be accountable for successful performance of the requirements as specified in the Performance Work Statement (PWS) to support MSFC programs and projects. These services cover a wide range of other disciplines deployed among a large number and variety of MSFC activities. The Contractor shall also provide the management and oversight necessary to accomplish the requirements of this PWS.</t>
  </si>
  <si>
    <t>PS70</t>
  </si>
  <si>
    <t>Moon Base Demonstrations</t>
  </si>
  <si>
    <t>tiffany.m.nickens@nasa.gov</t>
  </si>
  <si>
    <t>Thornton, Brooke (MSFC-HP40)</t>
  </si>
  <si>
    <t>AR12</t>
  </si>
  <si>
    <t>SPACE R&amp;D SERVICES; SPACE FLIGHT, RESEARCH AND SUPPORTING ACTIVITIES; APPLIED RESEARCH</t>
  </si>
  <si>
    <t>Exploration Systems Development Mission Directorate</t>
  </si>
  <si>
    <t>New Requirement</t>
  </si>
  <si>
    <t>Firm Fixed Price</t>
  </si>
  <si>
    <t>2027 Q1</t>
  </si>
  <si>
    <t>An Appendix under NextSTEP-3 for Moon Base Demonstrations managed under Moon Base Program Office.</t>
  </si>
  <si>
    <t>Research &amp; Development</t>
  </si>
  <si>
    <t>An Appendix under NextSTEP-3 for Moon Base Demonstrations that will be managed under the Moon Base Program Office.  The intent of this Appendix is to offer a vehicle to perform terrestrial and lunar demonstrations in order to buy down technical and operational risks to the program.</t>
  </si>
  <si>
    <t>PS32</t>
  </si>
  <si>
    <t>Marshall Exploration Facility</t>
  </si>
  <si>
    <t>megan.r.vansant@nasa.gov</t>
  </si>
  <si>
    <t>Goodman, Cody (MSFC-AS22)</t>
  </si>
  <si>
    <t>236220</t>
  </si>
  <si>
    <t>Y1AZ</t>
  </si>
  <si>
    <t>CONSTRUCTION OF OTHER ADMINISTRATIVE FACILITIES AND SERVICE BUILDINGS</t>
  </si>
  <si>
    <t xml:space="preserve">Commercial and Institutional Building Construction </t>
  </si>
  <si>
    <t>Q4</t>
  </si>
  <si>
    <t>$20.1M - $50M</t>
  </si>
  <si>
    <t>MSFC Huntsville</t>
  </si>
  <si>
    <t>Construction</t>
  </si>
  <si>
    <t>A new facility on the Marshall Space Flight Center called the Marshall Exploration Facility (MEF)  two to three story building featuring an auditorium with office, retail, and training spaces.</t>
  </si>
  <si>
    <t>New contract other than IDIQ</t>
  </si>
  <si>
    <t>Construction (Incl. A&amp;E)</t>
  </si>
  <si>
    <t xml:space="preserve">A key addition to MSFC is the upcoming MEF, a two-to-three-story building, spanning approximately 50,000 to 80,000 square feet, located within the 4200 complex. This facility will feature an auditorium and dedicated spaces for conferencing, training, retail, and administration. As a central component of the center’s long-term master plan, the MEF is designed to foster a dynamic and interconnected campus. </t>
  </si>
  <si>
    <t>NextSTEP-3 APPENDIX E: Network Extension for User Continuity and Sustainability (NEXUS) Backward-Compatible Ka-Band Relay Broad Agency Announcement (BAA)</t>
  </si>
  <si>
    <t>brooke.thornton@nasa.gov</t>
  </si>
  <si>
    <t>Nationwide US</t>
  </si>
  <si>
    <t>Space Operations Mission Directorate (SOMD)</t>
  </si>
  <si>
    <t>Communication Services</t>
  </si>
  <si>
    <t xml:space="preserve">The Network Extension for User Continuity and Sustainability (NEXUS) Project will provide end to end Ka-band backwards-compatible high data rate services to ensure continuity as the Tracking and Data Relay Satellite (TDRS) constellation degrades.  This acquisition will award multiple contracts for capability development and demonstration.
</t>
  </si>
  <si>
    <t>$500M - $999M</t>
  </si>
  <si>
    <t>NASA faces a credible risk of losing critical space-to-ground communications for key on-orbit missions beginning in the CY2029 to 2031 timeframe due to the aging Tracking and Data Relay Satellite (TDRS) System and the absence of backward-compatible commercial alternatives. The Space Communications and Navigation (SCaN) program and its Communications Services Project (CSP) Suproject "NEXUS", is is issuing this solicitation to advance Ka band backward compatible relay capabilities without replicating existing commercial services.</t>
  </si>
  <si>
    <t>Unified Network and Navigation Operations (UNNO)</t>
  </si>
  <si>
    <t>davey.jones@nasa.gov</t>
  </si>
  <si>
    <t>517810</t>
  </si>
  <si>
    <t>DG01</t>
  </si>
  <si>
    <t>IT AND TELECOM - NETWORK SUPPORT SERVICES (LABOR)</t>
  </si>
  <si>
    <t xml:space="preserve">All Other Telecommunications </t>
  </si>
  <si>
    <t>Order Dependent (IDV allows pricing arrangement to be determined separately for each order)</t>
  </si>
  <si>
    <t>2027 Q4</t>
  </si>
  <si>
    <t>To be determined</t>
  </si>
  <si>
    <t xml:space="preserve">The Space Communications and Navigation (SCaN) program is responsible for and manages NASA's communications and navigation capabilities to enable scientific discovery and space exploration. Currently these capabilities are provided through the Near Space Network (NSN) project and the Deep Space Network (DSN) project. SCaN is evolving its management and operational structure to form an integrated network operations team under the Unified Network and Navigation Operations (UNNO) construct. </t>
  </si>
  <si>
    <t>ITPO</t>
  </si>
  <si>
    <t>Withdrawn</t>
  </si>
  <si>
    <t>Cancelled</t>
  </si>
  <si>
    <t>Ansys Enterprise Agreement</t>
  </si>
  <si>
    <t>terry.hill-1@nasa.gov</t>
  </si>
  <si>
    <t>Meadows, Sydney (LARC-JF010)</t>
  </si>
  <si>
    <t>513210</t>
  </si>
  <si>
    <t>DA10</t>
  </si>
  <si>
    <t>IT AND TELECOM - BUSINESS APPLICATION/APPLICATION DEVELOPMENT SOFTWARE AS A SERVICE</t>
  </si>
  <si>
    <t>Office of the Chief Information Officer (OCIO)</t>
  </si>
  <si>
    <t>Software Publishers</t>
  </si>
  <si>
    <t>Betts, Robert O. (LARC-ZA000)</t>
  </si>
  <si>
    <t>Will be a sole-source.</t>
  </si>
  <si>
    <t>Supplies (Incl. Equipment)</t>
  </si>
  <si>
    <t>This contract covers any and all products, maintenance, technical support, and services that fall under the Ansys portfolio along with Ansys subsidiaries, ANSYS Government Initiatives, Inc. (was known as Analytical Graphics, Inc ( AGI )), Phoenix Integration (PI), and any additional present and future subsidiaries of Ansys.</t>
  </si>
  <si>
    <t>Enterprise</t>
  </si>
  <si>
    <t>6th Generation of Solutions for Enterprise -Wide Procurements Government Wide Acquisition Contract ( SEWP VI GWAC)</t>
  </si>
  <si>
    <t>james.r.griffin@nasa.gov</t>
  </si>
  <si>
    <t>GRIFFIN, JIM (GRC-LP013)</t>
  </si>
  <si>
    <t>541512</t>
  </si>
  <si>
    <t>Mission Support Directorate</t>
  </si>
  <si>
    <t xml:space="preserve">Computer Systems Design Services </t>
  </si>
  <si>
    <t>Other Agency Funded</t>
  </si>
  <si>
    <t>&gt;$100M</t>
  </si>
  <si>
    <t>Small Business Set Aside - Partial</t>
  </si>
  <si>
    <t>IT Services</t>
  </si>
  <si>
    <t>Multiple Award IDIQ Government-wide acquisition contract; $20B max value. 10 year POP. Multiple In-Scope NAICS Codes; 3 Scope Categories:
Category A- ITC/AV Solutions (Information Technology, Communication and Audio Visual
Category B- Enterprise-wide ITC/AV Service Solutions
Category C- ITC/AV Mission-Based (Information Technology Communication (ITC) and Audio Visual (AV)</t>
  </si>
  <si>
    <t>2024</t>
  </si>
  <si>
    <t>New Multiple Award IDIQ contract</t>
  </si>
  <si>
    <t>Other</t>
  </si>
  <si>
    <t xml:space="preserve">The focus of SEWP is on the full suite of technical offerings that simplify Governmental access and Industry offerings across the entire IT product solutions and services landscape.  From a product-based perspective, Category A will consist of the full range of hardware and software products including cloud-based solutions along with installation, integration, testing, training, maintenance, and other product-based services will be available.  
A second category, Category B, will be focused on Agency-based Strategic IT Solutions that improve and enhance the Agency IT infrastructure through methodologies including cloud services; managed services such as computer or printer services; and shared services such as Agency-wide help desk ticketing systems. 
A third category, Category C, will be focused on labor-based IT professional services that provide a full range of technology services inclusive of custom computer programming services, telecommunication services including network operations, IT-based engineering and design services, data processing and analysis services, hosting, and related services, IT operation and computer facilities, management services, IT consulting and educational services, digital government services, cybersecurity and security systems services. 
</t>
  </si>
  <si>
    <t>Software</t>
  </si>
  <si>
    <t>National Instruments Hardware and Software</t>
  </si>
  <si>
    <t>523210</t>
  </si>
  <si>
    <t>DE10</t>
  </si>
  <si>
    <t>IT and Telecom - End User as a Service: Help Desk;Tier 1-2,Workspace,Print,Output,Productivity Tools</t>
  </si>
  <si>
    <t>Securities and Commodity Exchanges</t>
  </si>
  <si>
    <t>IDIQ for National Instruments Hardware and Software</t>
  </si>
  <si>
    <t>New BPA awarded pursuant to FAR 13.303-2</t>
  </si>
  <si>
    <t>This requirement is for the agency-wide Indefinite Delivery, Indefinite Quantity (IDIQ) Contract for National Instruments (NI) to purchase new software licenses, continued maintenance of  software products, hardware and hardware maintenance and associated services. NI hardware and software are used extensively throughout the agency. The NI platform allows NASA engineers and scientists significant flexibility in designing solutions for their applications.</t>
  </si>
  <si>
    <t>LaRC</t>
  </si>
  <si>
    <t>B103</t>
  </si>
  <si>
    <t>Reliance Consolidated Models Contract VII (RECOM VII)</t>
  </si>
  <si>
    <t>kevin.m.bonilla@nasa.gov</t>
  </si>
  <si>
    <t>Bonilla, Kevin M. (LARC-D406B)</t>
  </si>
  <si>
    <t>VA</t>
  </si>
  <si>
    <t>AR11</t>
  </si>
  <si>
    <t>SPACE R&amp;D SERVICES; SPACE FLIGHT, RESEARCH AND SUPPORTING ACTIVITIES; BASIC RESEARCH</t>
  </si>
  <si>
    <t>Aeronautics Research Mission Directorate (ARMD)</t>
  </si>
  <si>
    <t>The principal purpose of the RECOM VII contract is to provide high quality modeling in order to meet the mission objectives of NASA.</t>
  </si>
  <si>
    <t xml:space="preserve">RECOM includes design and/or fabrication of Aerospace Model Systems and Developmental Test Hardware used for Spaceflight, Flight, Spaceflight Development, and Ground-based tests. These precision experimental research models and hardware consist of mechanical and electrical/electronic hardware elements, incorporating new technologies such as smart materials, stereolithography, and rapid proto-typing using plastics, polymers, and metals.  Place of performance will be Virginia and contractor's facility.  </t>
  </si>
  <si>
    <t>B102</t>
  </si>
  <si>
    <t>Blanket Purchase Agreements (BPA) - General and Precision Machining/Fabrication</t>
  </si>
  <si>
    <t>rolando.f.padilla@nasa.gov</t>
  </si>
  <si>
    <t>Padilla, Rolando F. (LARC-D204)</t>
  </si>
  <si>
    <t>332999</t>
  </si>
  <si>
    <t>J095</t>
  </si>
  <si>
    <t>MAINT/REPAIR/REBUILD OF EQUIPMENT- METAL BARS, SHEETS, AND SHAPES</t>
  </si>
  <si>
    <t xml:space="preserve">All Other Miscellaneous Fabricated Metal Product Manufacturing </t>
  </si>
  <si>
    <t>$2.1M - $5M</t>
  </si>
  <si>
    <t>Hampton</t>
  </si>
  <si>
    <t>2026 Q4</t>
  </si>
  <si>
    <t>Blanket Purchase Agreements (BPA) for general and precision machining and fabrication services, not to exceed a 5 yr agreement period.</t>
  </si>
  <si>
    <t>NASA Langley Research Center (LaRC) is contimplating a BPA requirement for general and precision machining fabrication supply/services. This BPA will allow NASA LaRC to easily acquire various required fabrication and machining services over the next 5 years. Call Orders will generally have short response times to meet critical research project needs. Payment for purchases will be competed via a Government credit card. The nature of this acquistion is for commercial items using the authority of FAR 12 and the Simplified Acquisition Procedures set forth in FAR Part 13.</t>
  </si>
  <si>
    <t>Force Measurement Support Services</t>
  </si>
  <si>
    <t>sean.a.commo@nasa.gov</t>
  </si>
  <si>
    <t>Commo, Sean A. (LARC-D341)</t>
  </si>
  <si>
    <t>334511</t>
  </si>
  <si>
    <t xml:space="preserve">Search, Detection, Navigation, Guidance, Aeronautical, and Nautical System and Instrument Manufacturing </t>
  </si>
  <si>
    <t>$5.1M - $10M</t>
  </si>
  <si>
    <t>Force Measurement Support Services (FMSS) contract provides high-quality force and strain measurement capabilities for NASA’s aeronautics, spaceflight, and science programs and projects.</t>
  </si>
  <si>
    <t xml:space="preserve">The FMSS contract provides high-quality force and strain measurement capabilities for NASA’s aeronautics, spaceflight, and science programs and projects. This includes the development of new capabilities and technologies that will evolve over the contract's period of performance. The Contractor develops force and strain measurement capabilities incorporating technological advancements to meet current and future aerospace research challenges. The contract primarily supports Langley Research Center (LaRC); however, may support other NASA centers, Government agencies, and industry partners. </t>
  </si>
  <si>
    <t>Evaluations, Assessments, and Support Services (EASS)</t>
  </si>
  <si>
    <t>david.p.irimies@nasa.gov</t>
  </si>
  <si>
    <t>Sasamoto, Washito A. (LARC-A1)</t>
  </si>
  <si>
    <t>R410</t>
  </si>
  <si>
    <t>SUPPORT- PROFESSIONAL: PROGRAM EVALUATION/REVIEW/DEVELOPMENT</t>
  </si>
  <si>
    <t>Science Mission Directorate (SMD)</t>
  </si>
  <si>
    <t>2027 Q3</t>
  </si>
  <si>
    <t>The scope of the contract will include evaluations, assessments, studies, and support for the NASA Langley Science Office for Mission Assurance (SOMA).</t>
  </si>
  <si>
    <t>The Science Office for Mission Assessments (SOMA) is located at NASA Langley Research Center and is responsible for the management and oversight of evaluations, assessments, and analyses for the NASA Headquarters Science Mission Directorate (SMD). The scope of this contract will include evaluations, assessments,  services, and support for SOMA, other NASA organizations, and other Government agencies as designated in individual task orders.</t>
  </si>
  <si>
    <t>GSFC</t>
  </si>
  <si>
    <t>Programmatic and Institutional Knowledge Services</t>
  </si>
  <si>
    <t>victoria.l.jenkins@nasa.gov</t>
  </si>
  <si>
    <t>Jenkins, Victoria L. (GSFC-2710)</t>
  </si>
  <si>
    <t>MD</t>
  </si>
  <si>
    <t>561920</t>
  </si>
  <si>
    <t>R699</t>
  </si>
  <si>
    <t>SUPPORT- ADMINISTRATIVE: OTHER</t>
  </si>
  <si>
    <t>Convention and Trade Show Organizers</t>
  </si>
  <si>
    <t>Chappell, Kandace P. (GSFC-1790)</t>
  </si>
  <si>
    <t>Greenbelt</t>
  </si>
  <si>
    <t>8a Competed</t>
  </si>
  <si>
    <t>Administrative Services</t>
  </si>
  <si>
    <t>2026 Q2</t>
  </si>
  <si>
    <t>NASA Headquarters (HQ), Goddard Space Flight Center (GSFC), and other NASA Centers sponsor and host numerous events throughout the year to disseminate administrative, scientific, and technical information. They require logistical, coordination, and management support to successfully conduct these events which may be held at various locations including local, national, and international sites.</t>
  </si>
  <si>
    <t>2020</t>
  </si>
  <si>
    <t xml:space="preserve">
  PIKES
</t>
  </si>
  <si>
    <t>178</t>
  </si>
  <si>
    <t>Hydrosphere, Biosphere Geophysics (HBG) Support Services II Contract</t>
  </si>
  <si>
    <t>eric.c.browndecolsto@nasa.gov</t>
  </si>
  <si>
    <t>Brown De Colstoun, Eric C. (GSFC-6180)</t>
  </si>
  <si>
    <t>AJ11</t>
  </si>
  <si>
    <t>GENERAL SCIENCE AND TECHNOLOGY R&amp;D SERVICES; GENERAL SCIENCE AND TECHNOLOGY; BASIC RESEARCH</t>
  </si>
  <si>
    <t>greenbelt</t>
  </si>
  <si>
    <t xml:space="preserve">This contract is for support of a full range of science and research activities across the breadth of the various Laboratories that make up the HBO sub-division, including the Cryospheric Sciences (Code 615), Ocean Ecology (Code 616), Hydrological Sciences 
(Code 617), Biospheric Sciences (Code 618), Terrestrial Information Systems (Code 619) and Geodesy and Geophysics (Code 61A) Laboratories. </t>
  </si>
  <si>
    <t>LandSat Next (LNext) Spacecraft</t>
  </si>
  <si>
    <t>miquel.a.moe@nasa.gov</t>
  </si>
  <si>
    <t>Moe, Miquel A. (GSFC-4651)</t>
  </si>
  <si>
    <t>336414</t>
  </si>
  <si>
    <t>1555</t>
  </si>
  <si>
    <t>SPACE VEHICLES</t>
  </si>
  <si>
    <t xml:space="preserve">Guided Missile and Space Vehicle Manufacturing </t>
  </si>
  <si>
    <t xml:space="preserve">The purpose of this contract is to acquire spacecraft and observatory integration and test for three LNext observatories, with an option for one additional Landsat Next observatory, and related services for the Landsat Next Project. </t>
  </si>
  <si>
    <t>Earth Science Data and Information System (ESDIS) Next (ENX )</t>
  </si>
  <si>
    <t>ted.c.sobchak@nasa.gov</t>
  </si>
  <si>
    <t>Sobchak, Ted C. (HQ-CG000)</t>
  </si>
  <si>
    <t>DC10</t>
  </si>
  <si>
    <t>IT AND TELECOM - DATA CENTER AS A SERVICE</t>
  </si>
  <si>
    <t>Description of Effort/Need
The purpose of this contract is to acquire engineering, development and related services for the NASA’s Science Missions Directorate (SMD) Earth Science Division (ESD).  The contractor shall provide development and sustaining engineering of software and hardware systems that provide science data management for the Earth Science Data and Information System (ESDIS) Project. Major activity under this contract will be for evolution, development engineering and operations of several on-premises and commercial cloud-based systems and services.</t>
  </si>
  <si>
    <t>171</t>
  </si>
  <si>
    <t>Sounder for Microwave-Based Applications (SMBA) Development and Implementation Procurement</t>
  </si>
  <si>
    <t>jessica.knizhnik@nasa.gov</t>
  </si>
  <si>
    <t>Knizhnik, Jessica R. L. (GSFC-4730)</t>
  </si>
  <si>
    <t>Full and Open with SB Reserves</t>
  </si>
  <si>
    <t xml:space="preserve">SMBA will be a microwave sounding instrument flying on the NEON program series of low-earth orbit satellites. SMBA will have hyperspectral sounding capabilities to support the acquisition of high-resolution atmospheric temperature and moisture profiles used in a variety of applied products for weather forecasting and atmospheric monitoring. </t>
  </si>
  <si>
    <t>Definitive Contract</t>
  </si>
  <si>
    <t xml:space="preserve">The procurement will consist of 8 SMBA flight models, one instrument Engineering Test Unit, and associated Ground Support Equipment (GSE) and simulators. The contract scope includes the tasks necessary to design, analyze, develop, fabricate, integrate, test evaluate, and support launch of SMBA instruments; supply and maintain the instrument GSE; and support the Mission Operations at the mission operations facility. The SMBA instrument has a risk classification of Class C. </t>
  </si>
  <si>
    <t>HQ</t>
  </si>
  <si>
    <t>New</t>
  </si>
  <si>
    <t xml:space="preserve">Federally Funded Research and Development Center (FFRDC) Contract at the Jet Propulsion Laboratory
</t>
  </si>
  <si>
    <t>michael.kaszyca@nasa.gov</t>
  </si>
  <si>
    <t>Kaszyca, Michael {Mike K} (LARC-A5)</t>
  </si>
  <si>
    <t>CA</t>
  </si>
  <si>
    <t>AJ12</t>
  </si>
  <si>
    <t>GENERAL SCIENCE AND TECHNOLOGY R&amp;D SERVICES; GENERAL SCIENCE AND TECHNOLOGY; APPLIED RESEARCH</t>
  </si>
  <si>
    <t>Space Technology Mission Directorate (STMD)</t>
  </si>
  <si>
    <t>HAASE, Ann (HQ-ZA000)</t>
  </si>
  <si>
    <t>Pasadena</t>
  </si>
  <si>
    <t xml:space="preserve">New competitive procurement for the management and operation of NASA’s Federally Funded Research and Development Center (FFRDC) at the Jet Propulsion Laboratory in Pasadena, CA.
</t>
  </si>
  <si>
    <t>NSSC</t>
  </si>
  <si>
    <t>XD042</t>
  </si>
  <si>
    <t>NASA Enterprise Custodial, Landscaping, and Pest Services (ECLPS)</t>
  </si>
  <si>
    <t>vernon.d.hunt@nasa.gov</t>
  </si>
  <si>
    <t>Hunt, Vernon D. (HQ-LD063)</t>
  </si>
  <si>
    <t>561210</t>
  </si>
  <si>
    <t>S208</t>
  </si>
  <si>
    <t>HOUSEKEEPING- LANDSCAPING/GROUNDSKEEPING</t>
  </si>
  <si>
    <t>Office of Strategic Infrastructure</t>
  </si>
  <si>
    <t>Facilities Support Services</t>
  </si>
  <si>
    <t>Miller, Troy E. (NSSC-XD040)</t>
  </si>
  <si>
    <t>Grounds Maintenance</t>
  </si>
  <si>
    <t>NASA Enterprise Custodial, Landscaping, and Pest Services (ECLPS) will serve as a vehicle for all NASA Centers and Field Activities. Services include grounds maintenance, exterior and interior pest control, refuse/recycling collection and landfill, snow removal, minor maintenance, and custodial services.</t>
  </si>
  <si>
    <t>This requirement will be competed on GSA MAS.</t>
  </si>
  <si>
    <t>New Blanket Purchase Agreement (BPA) awarded against a Federal Supply Schedule (FAR 8.405-3)</t>
  </si>
  <si>
    <t>Grounds Maintenance includes landscaping and grass cutting, irrigation, raking and disposal of leaves, scheduled pruning, tree trimming, etc. Exterior and interior pest control includes preventative treatment and removal of pests from buildings and facilities. Refuse/recycling includes transporting from collection sites to landfills. Snow removal includes de-icing in preparation of weather events and removal of snow and debris from various areas. Janitorial services includes cleaning inside facilities (i.e. floors, furniture, fixtures, bathrooms, etc.).</t>
  </si>
  <si>
    <t>SSC</t>
  </si>
  <si>
    <t>Southeastern Regional Multiple Award Construction Contract (SRMACC III)</t>
  </si>
  <si>
    <t>casey.s.wheeler@nasa.gov</t>
  </si>
  <si>
    <t>Wheeler, Casey S. (SSC-RA40)</t>
  </si>
  <si>
    <t>236210</t>
  </si>
  <si>
    <t>Y1JZ</t>
  </si>
  <si>
    <t>CONSTRUCTION OF MISCELLANEOUS BUILDINGS</t>
  </si>
  <si>
    <t xml:space="preserve">Industrial Building Construction </t>
  </si>
  <si>
    <t>Varies</t>
  </si>
  <si>
    <t>2028 Q1</t>
  </si>
  <si>
    <t>NASA anticipates utilizing the MACC-III for the future construction and design build requirements utilizing large and small business contractors from various category types.  Work under this contract is to be performed in the general construction category.</t>
  </si>
  <si>
    <t>NASA anticipates utilizing the MACC-III for the future construction and design build requirements utilizing large and small business contractors from various category types. 
 Work under this contract is to be performed in the general construction category to include, but is not limited to, architectural, mechanical, electrical, plumbing, civil, structural, roofing, building renovations, new building construction, demolition, United States Green Building Council (USGBC) Leadership in Energy and Environmental Design (LEED) projects, and design/build projects.</t>
  </si>
  <si>
    <t>XD041</t>
  </si>
  <si>
    <t>National Aeronautics and Space Administration Small Business Innovation Research (SBIR) Ignite Phase I PY 2025 Solicitation</t>
  </si>
  <si>
    <t>dina.a.salazar@nasa.gov</t>
  </si>
  <si>
    <t>Brewer, Dina S (ARC-DIB)</t>
  </si>
  <si>
    <t>AS11</t>
  </si>
  <si>
    <t>TRANSPORTATION R&amp;D SERVICES; SURFACE TRANSPORTATION, PUBLIC TRANSIT, AND RAIL; BASIC RESEARCH</t>
  </si>
  <si>
    <t>$1.1M - $2M</t>
  </si>
  <si>
    <t>Congress created the Small Business Innovation Research (SBIR) program to support scientific excellence and technological innovation through the investment of federal research funds. The purpose of this investment is to build a strong national economy, strengthen the role of small business in meeting federal research and development needs, increase the commercial application of research results.</t>
  </si>
  <si>
    <t>Less than 1 year</t>
  </si>
  <si>
    <t>Purchase Order</t>
  </si>
  <si>
    <t>Not Competed</t>
  </si>
  <si>
    <t xml:space="preserve">The Small Business Administration (SBA) provides policy through the combined Small Business Innovation Research (SBIR) and Small Business Technology Transfer (STTR) programs. The SBIR and STTR Extension Act of 2022 amended the Small Business Act (15 U.S.C. 638) to extend the SBIR and STTR programs until September 30, 2025.  Congress created the Small Business Innovation Research (SBIR) program to support scientific excellence and technological innovation through the investment of federal research funds. NASA previously selected 9 small businesses to receive 2024 SBIR Ignite Phase I awards. </t>
  </si>
  <si>
    <t>National Aeronautics and Space Administration Small Business Innovation Research (SBIR) Phase II Sequential Solicitation</t>
  </si>
  <si>
    <t>The Small Business Administration (SBA) provides policy through the combined Small Business Innovation Research (SBIR) and Small Business Technology Transfer (STTR) programs. The SBIR and STTR Extension Act of 2022 amended the Small Business Act (15 U.S.C. 638) to extend the SBIR and STTR programs until September 30, 2025.  Congress created the Small Business Innovation Research (SBIR) program to support scientific excellence and technological innovation through the investment of federal research funds. Previous award total equaled $13,548,747.</t>
  </si>
  <si>
    <t>National Aeronautics and Space Administration Small Business Innovation Research (SBIR) / Small Business Technology Transfer (STTR) Civilian Commercialization Readiness Pilot Program (CCRPP)</t>
  </si>
  <si>
    <t>$10.1M - $20M</t>
  </si>
  <si>
    <t>The Small Business Administration (SBA) provides policy through the combined Small Business Innovation Research (SBIR) and Small Business Technology Transfer (STTR) programs. The SBIR and STTR Extension Act of 2022 amended the Small Business Act (15 U.S.C. 638) to extend the SBIR and STTR programs until September 30, 2025.  Congress created the Small Business Innovation Research (SBIR) program to support scientific excellence and technological innovation through the investment of federal research funds. CCRPP 2024 awards total $13,548,747.00.</t>
  </si>
  <si>
    <t>National Aeronautics and Space Administration Small Business Technology Transfer (STTR) Phase II Solicitation</t>
  </si>
  <si>
    <t>The Small Business Administration (SBA) provides policy through the combined Small Business Innovation Research (SBIR) and Small Business Technology Transfer (STTR) programs. The SBIR and STTR Extension Act of 2022 amended the Small Business Act (15 U.S.C. 638) to extend the SBIR and STTR programs until September 30, 2025.  Congress created the Small Business Innovation Research (SBIR) program to support scientific excellence and technological innovation through the investment of federal research funds. STTR Phase IIs - 16, for a total of $13.6M.</t>
  </si>
  <si>
    <t>Liquid Nitrogen Air Separation Unit</t>
  </si>
  <si>
    <t>thomas.e.carroll@nasa.gov</t>
  </si>
  <si>
    <t>Carroll, Thomas E. (SSC-RA40)</t>
  </si>
  <si>
    <t>MS</t>
  </si>
  <si>
    <t>325120</t>
  </si>
  <si>
    <t>3655</t>
  </si>
  <si>
    <t>GAS GENERATING AND DISPENSING SYSTEMS, FIXED OR MOBILE</t>
  </si>
  <si>
    <t>Industrial Gas Manufacturing</t>
  </si>
  <si>
    <t>Stennis Space Center</t>
  </si>
  <si>
    <t>The Liquid Nitrogen Air Separation Unit (LNASU) procurement is a component of the Future State Initiative (FSI) Effort at the Stennis Space Center High Pressure Gas Facility.  It is part of a CoF Project, Renew High Pressure Gas Facility, Phase 1.</t>
  </si>
  <si>
    <t>$501K - $1M</t>
  </si>
  <si>
    <t>Not Available for Competition</t>
  </si>
  <si>
    <t>The Liquid Nitrogen Air Separation Unit procurement is a component of the Future State Initiative Effort at the Stennis Space Center High Pressure Gas Facility.  It is part of a CoF Project, Renew High Pressure Gas Facility, Phase 1 of 2.  The procurement will significantly supplement the existing liquid nitrogen truck delivery system, providing nitrogen for the test complex and other locations at Stennis Space Center</t>
  </si>
  <si>
    <t>Maximize E1 Capability - E-Complex Video System</t>
  </si>
  <si>
    <t>christoffer.r.barnett-woods@nasa.gov</t>
  </si>
  <si>
    <t>Ladner, Brandon K. (SSC-EA01)</t>
  </si>
  <si>
    <t>561621</t>
  </si>
  <si>
    <t>N063</t>
  </si>
  <si>
    <t>INSTALLATION OF EQUIPMENT- ALARM, SIGNAL, AND SECURITY DETECTION SYSTEMS</t>
  </si>
  <si>
    <t>Office of Communications (OCOMM);#Mission Support Directorate (MSD)</t>
  </si>
  <si>
    <t xml:space="preserve">Security Systems Services (except Locksmiths) </t>
  </si>
  <si>
    <t xml:space="preserve">E-Complex Video System </t>
  </si>
  <si>
    <t xml:space="preserve">procure and install video camera system for E-Complex incldueing thermal, high speed, and PTZ cameras. </t>
  </si>
  <si>
    <t>Maximize E1 Capability - E-Complex Communication and PA System</t>
  </si>
  <si>
    <t>238210</t>
  </si>
  <si>
    <t>N059</t>
  </si>
  <si>
    <t>INSTALLATION OF EQUIPMENT- ELECTRICAL AND ELECTRONIC EQUIPMENT COMPONENTS</t>
  </si>
  <si>
    <t>Electrical Contractors and Other Wiring Installation Contractors</t>
  </si>
  <si>
    <t>E-Complex Communications and PA System Replacement</t>
  </si>
  <si>
    <t>procure and install new communications/PA system for E-Complex</t>
  </si>
  <si>
    <t>XD047</t>
  </si>
  <si>
    <t>A1 High Purity Air and Backup Liquid Nitrogen System</t>
  </si>
  <si>
    <t>brandon.k.ladner@nasa.gov</t>
  </si>
  <si>
    <t>6830</t>
  </si>
  <si>
    <t>GASES: COMPRESSED AND LIQUEFIED</t>
  </si>
  <si>
    <t>A1 High Purity Air and Liquid Nitrogen System</t>
  </si>
  <si>
    <t>A1 Test Stand High Purity Air and Backup Liquid Nitrogen Systems</t>
  </si>
  <si>
    <t>National Aeronautics and Space Administration Small Business Innovation Research (SBIR) Phase II PY 2025 Solicitation</t>
  </si>
  <si>
    <t>National Aeronautics and Space Administration Small Business Innovation Research (SBIR) Phase I PY 2026 Solicitation</t>
  </si>
  <si>
    <t>National Aeronautics and Space Administration Small Business Technology Transfer (STTR) Phase I PY 2026 Solicitation</t>
  </si>
  <si>
    <t>Medium Voltage Powerhouse for Helium Compressor</t>
  </si>
  <si>
    <t>237130</t>
  </si>
  <si>
    <t>S112</t>
  </si>
  <si>
    <t>UTILITIES- ELECTRIC</t>
  </si>
  <si>
    <t>Exploration Systems Development Mission Directorate (ESDMD)</t>
  </si>
  <si>
    <t xml:space="preserve">Power and Communication Line and Related Structures Construction </t>
  </si>
  <si>
    <t>Procurement method change from full and open to Order off of an existing IDIQ</t>
  </si>
  <si>
    <t>Helium Compressors for HPGF</t>
  </si>
  <si>
    <t>333912</t>
  </si>
  <si>
    <t>4310</t>
  </si>
  <si>
    <t>COMPRESSORS AND VACUUM PUMPS</t>
  </si>
  <si>
    <t xml:space="preserve">Air and Gas Compressor Manufacturing </t>
  </si>
  <si>
    <t>Facilities Operations</t>
  </si>
  <si>
    <t>$251K - $500K</t>
  </si>
  <si>
    <t xml:space="preserve">NASA Enterprise Logistics Support Services </t>
  </si>
  <si>
    <t>lisa.m.williams@nasa.gov</t>
  </si>
  <si>
    <t>Williams, Lisa M (KSC-LD042)</t>
  </si>
  <si>
    <t>541614</t>
  </si>
  <si>
    <t>R706</t>
  </si>
  <si>
    <t>SUPPORT- MANAGEMENT: LOGISTICS SUPPORT</t>
  </si>
  <si>
    <t xml:space="preserve">Process, Physical Distribution, and Logistics Consulting Services </t>
  </si>
  <si>
    <t>Nationwide</t>
  </si>
  <si>
    <t>Logistics</t>
  </si>
  <si>
    <t>This requirement will be competed under GSA OASIS+.</t>
  </si>
  <si>
    <t>BPA Call</t>
  </si>
  <si>
    <t xml:space="preserve">The purpose of the NASA Enterprise Logistics Support Services (NELSS) Blanket Purchase Agreement (BPA) is to support the Agency-wide mission responsibilities of LMD by providing logistics support, to include property management from acquisition to disposition, programmatic support through product support management activities and transportation management requirements ranging from mail services to multi-modal transportation planning. </t>
  </si>
  <si>
    <t>National Center for Critical Information Processing &amp; Storage V3 (NCCIPS V3)</t>
  </si>
  <si>
    <t>robert.a.poncet@nasa.gov</t>
  </si>
  <si>
    <t>Poncet, Robert A. (NSSC-XF000)</t>
  </si>
  <si>
    <t>541513</t>
  </si>
  <si>
    <t>Z1BG</t>
  </si>
  <si>
    <t>MAINTENANCE OF ELECTRONIC AND COMMUNICATIONS FACILITIES</t>
  </si>
  <si>
    <t xml:space="preserve">Computer Facilities Management Services </t>
  </si>
  <si>
    <t>The objective of this acquisition is to acquire the services needed to operate, maintain and manage the National Center for Critical Information Processing and Storage (NCCIPS) facility and campus which includes equipment maintenance and power management of the SSC telecommunications facility. NCCIPS is a Tier III equivalent colocated data center facility supporting multiple Federal Agencies.</t>
  </si>
  <si>
    <t>Procurement method change from full and open to Order off GSA</t>
  </si>
  <si>
    <t>Managed by the NASA Shared Services Center, NCCIPS is a federal colocated data center facility and campus supporting numerous Federal Agencies. NCCIPS is located on a 64-acre campus within the boundaries of Stennis Space Center in southern Mississippi. NCCIPS provides Tier III data center facility services 24/7x365 supporting data center and office requirements for its customers.</t>
  </si>
  <si>
    <t>National Aeronautics and Space Administration Small Business Innovation Research (SBIR) Ignite Phase II PY 2026 Solicitation</t>
  </si>
  <si>
    <t xml:space="preserve">The Small Business Administration (SBA) provides policy through the combined Small Business Innovation Research (SBIR) and Small Business Technology Transfer (STTR) programs. The Small Business Innovation and Economic Security Act of 2022 amended the Small Business Act (15 U.S.C. 638) to extend the SBIR and STTR programs until September 30, 2031.  Congress created the Small Business Innovation Research (SBIR) program to support scientific excellence and technological innovation through the investment of federal research funds. </t>
  </si>
  <si>
    <t>National Aeronautics and Space Administration Small Business Technology Transfer (STTR) Phase II Solicitation 2025</t>
  </si>
  <si>
    <t>The Small Business Administration (SBA) provides policy through the combined Small Business Innovation Research (SBIR) and Small Business Technology Transfer (STTR) programs. The Small Business Innovation and Economic Security Act of 2026 amended the Small Business Act (15 U.S.C. 638) to extend the SBIR and STTR programs until September 30, 2031.  Congress created the Small Business Innovation Research (SBIR) program to support scientific excellence and technological innovation through the investment of federal research funds.</t>
  </si>
  <si>
    <t>173</t>
  </si>
  <si>
    <t>University Leadership Initiative (ULI)</t>
  </si>
  <si>
    <t>provenza@nasa.gov</t>
  </si>
  <si>
    <t>Provenza, Andrew J. (GRC-KM00)</t>
  </si>
  <si>
    <t>Onanuga, Djaataa (GSFC-1700)</t>
  </si>
  <si>
    <t>No set aside used.</t>
  </si>
  <si>
    <t>The University Leadership Intiative solicitation is part of the Research Opportunities in Aeronautics (ROA) and is released yearly.  3-4 selections are made to be awarded for period of performance of 3-4 years to execute work by the university teams as described in their proposal</t>
  </si>
  <si>
    <t>4 years</t>
  </si>
  <si>
    <t>Cooperative Agreement</t>
  </si>
  <si>
    <t>University Leadership Initiative (ULI) provides the opportunity for university teams to exercise technical and organizational leadership in proposing unique technical challenges in aeronautics, defining multi-disciplinary solutions, establishing peer review mechanisms, and applying innovative teaming strategies to strengthen the research impact. This NRA will utilize a two-step proposal submission and evaluation process. The initial step is a short mandatory Step-A proposal. Those offerors submitting the most highly rated Step-A proposals will be invited to submit a Step-B proposal.</t>
  </si>
  <si>
    <t>NASA Research and Education Support Services III (NRESS III)</t>
  </si>
  <si>
    <t>justin.e.mathurin@nasa.gov</t>
  </si>
  <si>
    <t>Mathurin, Justin E. (JSC-DA030)</t>
  </si>
  <si>
    <t>DC</t>
  </si>
  <si>
    <t>541611</t>
  </si>
  <si>
    <t xml:space="preserve">Administrative Management and General Management Consulting Services </t>
  </si>
  <si>
    <t>The purpose of this contract is to acquire facilitated peer review program management for NASA's basic and applied research, technology development, and Science, Technology, Engineering, and Mathematics STEM) engagement programs.  The contractor shall provide professional support services, information technology support, and related services for the NRESS program that supports the agency.</t>
  </si>
  <si>
    <t>The purpose of this contract is to acquire facilitated peer review program management for NASA's basic and applied research, technology development, and Science, Technology, Engineering, and Mathematics STEM) engagement programs.  The contractor shall provide professional support services, information technology support, and related services for the NRESS program that supports the agency's peer review life cycle.</t>
  </si>
  <si>
    <t>NASA Postdoctoral Program-3 (NPP-3)</t>
  </si>
  <si>
    <t>laura.lorenzoni@nasa.gov</t>
  </si>
  <si>
    <t>Lorenzoni, Laura (HQ-DK000)</t>
  </si>
  <si>
    <t>541612</t>
  </si>
  <si>
    <t>R799</t>
  </si>
  <si>
    <t>SUPPORT- MANAGEMENT: OTHER</t>
  </si>
  <si>
    <t xml:space="preserve">Human Resources Consulting Services </t>
  </si>
  <si>
    <t>Washington</t>
  </si>
  <si>
    <t>NASA Postdoctoral Program-3 (NPP-3) - NASA Research Opportunitites for Fellows</t>
  </si>
  <si>
    <t>NASA Research Opportunitites for Fellows</t>
  </si>
  <si>
    <t>JSC</t>
  </si>
  <si>
    <t>BL</t>
  </si>
  <si>
    <t>Commercial Lunar Payload Services (CLPS 2.0)</t>
  </si>
  <si>
    <t>adam.m.schlesinger@nasa.gov</t>
  </si>
  <si>
    <t>Schlesinger, Adam M. (JSC-XA111)</t>
  </si>
  <si>
    <t>927110</t>
  </si>
  <si>
    <t>R</t>
  </si>
  <si>
    <t>SUPPORT SVCS (PROF, ADMIN, MGMT)</t>
  </si>
  <si>
    <t xml:space="preserve">Space Research and Technology </t>
  </si>
  <si>
    <t>Romain, Tumarrow (JSC-BA111)</t>
  </si>
  <si>
    <t>Recompete of Commercial Lunar Payload Services contract</t>
  </si>
  <si>
    <t xml:space="preserve">CLPS was established in 2018 as an innovative, service-based, competitive acquisition approach using commercial procurement strategies under an Indefinite delivery/indefinite quantity (IDIQ) contract awarded to 14 vendors. Task orders are firm fixed price for the full scope of delivery. The CLPS vendor is responsible for subcontracting the Launch Vehicle and obtaining all the necessary FAA and other agency approvals/licenses. Contracts are for deliveries to the Moon with the goal of  enabling rapid, frequent, and affordable access to the lunar surface. </t>
  </si>
  <si>
    <t>BH</t>
  </si>
  <si>
    <t>Next generation NanoSIMS HR instrument with Cryogenic capability</t>
  </si>
  <si>
    <t>eve.l.berger@nasa.gov</t>
  </si>
  <si>
    <t>Berger, Eve L. (JSC-XI311)</t>
  </si>
  <si>
    <t>66</t>
  </si>
  <si>
    <t>INSTRUMENTS AND LABORATORY EQPT</t>
  </si>
  <si>
    <t xml:space="preserve">To prepare for the analyses of samples being returned by Artemis and other missions. The improvements over the existing NanoSIMS 50L at NASA JSC will enable isotopic characterization of the fine-grained constituents at unparalleled spatial resolution, precision, and accuracy. </t>
  </si>
  <si>
    <t>It will allow new types of analyses to be made, such as isotopic study of soluble organics and fluid inclusions, and extend our measurements to finer grains that are currently inaccessible. The advanced capabilities of the NanoSIMS HR will likely enable the discovery of new types of presolar and nebular grains. Such studies of Ryugu samples, as well as future return samples, using the NanoSIMS HR would revolutionize our understanding of the material that seeded our solar system, the first formed solar system solids, and the organic and volatile content of primitive asteroids.</t>
  </si>
  <si>
    <t xml:space="preserve">Strategic Professional Engineering Assessment Contract (SPEAC) III </t>
  </si>
  <si>
    <t>cara.l.walker@nasa.gov</t>
  </si>
  <si>
    <t>Miller, Cara L (JSC-XB111)</t>
  </si>
  <si>
    <t>Re-compete of SPEAC II BPA</t>
  </si>
  <si>
    <t>Exploration Architecture, Integration, and Science (EAIS) Directorate  and other customers require continued support for independent programmatic and institutional reviews and assessments in the areas of:  Independent cost, schedule, technical risk assessments, and safety and mission assurance, and definition and interpretation of high level organizational engineering performance requirements.</t>
  </si>
  <si>
    <t>Human Health and Institutional Management Support Contract (HHIMS) 4</t>
  </si>
  <si>
    <t>michael.d.maloy@nasa.gov</t>
  </si>
  <si>
    <t>Maloy, Michael D. (JSC-SA411)</t>
  </si>
  <si>
    <t>TX</t>
  </si>
  <si>
    <t>541990</t>
  </si>
  <si>
    <t>All Other Professional, Scientific, and Technical Services</t>
  </si>
  <si>
    <t>Houston</t>
  </si>
  <si>
    <t>2028 Q3</t>
  </si>
  <si>
    <t>Provide board and panel services, configuration management/data management, and conference support to the Human Health and Performance Directorate.</t>
  </si>
  <si>
    <t>Purchase of NASA Standard Initiators (NSI), NSI-3A's, NASA Standard Detonators (NSD), Staking of NSI's and weld washer installation on NSI's and NSI-3A's.</t>
  </si>
  <si>
    <t>rosa.e.obregon@nasa.gov</t>
  </si>
  <si>
    <t>Obregon, Rosa E. (JSC-EX511)</t>
  </si>
  <si>
    <t>IL</t>
  </si>
  <si>
    <t>325920</t>
  </si>
  <si>
    <t>1376</t>
  </si>
  <si>
    <t>BULK EXPLOSIVES</t>
  </si>
  <si>
    <t>Explosives Manufacturing</t>
  </si>
  <si>
    <t>Downers Grove</t>
  </si>
  <si>
    <t>8(a) Sole Source</t>
  </si>
  <si>
    <t>Propellants</t>
  </si>
  <si>
    <t>This will be an IDIQ Contract for the NSI, NSI-3A, and NSD fabrication; NSI Staking; and Weld washer installation.</t>
  </si>
  <si>
    <t>NASA plans to procure NSI's, NSI-3A's in potential quantities of 500/1000.  In addition NASA plans to procure NASA Standard Detonators in the quantities of 200/500.  Also a part of this contract will be staking of NSI's and NSI-3A's and the addition of weld washers to NSI's and NSI-3A's.  The government plans to enter into a firm fixed price Indefinate Delivery Indefinate Quantity Contract with Chemring Energetic Devices in Downers Grove, IL over a 10 year period of performance.</t>
  </si>
  <si>
    <t>Oxygen Generation System</t>
  </si>
  <si>
    <t>john.c.graf@nasa.gov</t>
  </si>
  <si>
    <t>Graf, John C. (JSC-EC311)</t>
  </si>
  <si>
    <t>UT</t>
  </si>
  <si>
    <t>Salt Lake City</t>
  </si>
  <si>
    <t>Delivery of a prototype oxygen generation system up to 3,000PSI.</t>
  </si>
  <si>
    <t>Delivery Order</t>
  </si>
  <si>
    <t xml:space="preserve">The goal of this AES sponsored project is to develop and test oxygen generation systems that have favorable intrinsic safety characteristics.  The goal of this project is to develop an oxygen generation system free of the safety risks associated with hydrogen, where all of the materials in contact with oxygen are oxygen compatible and do not burn.  </t>
  </si>
  <si>
    <t>Advanced Guidance, Navigation &amp; Control (GN&amp;C), Avionics Technology Development &amp; Analysis services follow-on contract.</t>
  </si>
  <si>
    <t>jeffrey.p.gutkowski@nasa.gov</t>
  </si>
  <si>
    <t>Gutkowski, Jeffrey P. (JSC-EG511)</t>
  </si>
  <si>
    <t>541330</t>
  </si>
  <si>
    <t>B599</t>
  </si>
  <si>
    <t>SPECIAL STUDIES/ANALYSIS- OTHER</t>
  </si>
  <si>
    <t>Engineering Services</t>
  </si>
  <si>
    <t>The follow-on contract with Draper of Cambridge, Massachusetts will provide JSC’s Engineering Directorate’s Aeroscience and Flight Mechanics Division (AFMD) with continued avionics and GN&amp;C (Guidance, Navigation, and Control) systems design, development, sustaining engineering, evaluation, and related autonomous flight support for the International Space Station (ISS), Orion Multi-Purpose Crew Vehicle (Orion MPCV), Human Landing System (HLS), and Gateway.</t>
  </si>
  <si>
    <t>BR</t>
  </si>
  <si>
    <t>Operations, Research, and Broad Innovative Technology (ORBIT) Services</t>
  </si>
  <si>
    <t>goran.bencun@nasa.gov</t>
  </si>
  <si>
    <t>Moeller, Erin E. (JSC-CA311)</t>
  </si>
  <si>
    <t xml:space="preserve">ORBIT is a recompete of NASA's Mission and Engineering Support Contract (MESC) multiple-award contracts.  </t>
  </si>
  <si>
    <t>This contract will provide mission concept development and formulation studies; systems engineering and discipline engineering services; spaceflight enabling and mission operations support; specialized information technology (IT) and end-user support services; software development and sustainment; and advanced mission research and development (R&amp;D) support to The Flight Operations Directorate (FOD) and its supported affiliate organizations.</t>
  </si>
  <si>
    <t>Decompression Sickness Modeling</t>
  </si>
  <si>
    <t>laura.j.bollweg@nasa.gov</t>
  </si>
  <si>
    <t>Bollweg, Laura J. (JSC-SA211)</t>
  </si>
  <si>
    <t>518210</t>
  </si>
  <si>
    <t>6635</t>
  </si>
  <si>
    <t>PHYSICAL PROPERTIES TESTING AND INSPECTION</t>
  </si>
  <si>
    <t>Computing Infrastructure Providers, Data Processing, Web Hosting, and Related Services</t>
  </si>
  <si>
    <t>Nationawide US City</t>
  </si>
  <si>
    <t>RFP for Decompression Sickness Modeling.  Plan is to start with initial model by providing vendors with majority of the dataset but holding back some data for testing.   After vendores provide model, we will test them based on data.  Then downselect to one vendor.  This vendor will improve the model and pull in new datasets.</t>
  </si>
  <si>
    <t xml:space="preserve">The focus of this effort is to produce a model that allows for the accurate prediction of Spaceflight Decompression Sickness (DCS) risk based upon evidence from studies from operational data sources.  Using retrospective and prospective data, the goal is for the model to be used as an operationally-feasible, mission-relevant DCS risk prediction tool for lunar and Mars exploration.  Two phases of aquisition.  </t>
  </si>
  <si>
    <t>BC</t>
  </si>
  <si>
    <t>JSC Multiple Award Construction Contract (JMACC)</t>
  </si>
  <si>
    <t>jeffry.m.white@nasa.gov</t>
  </si>
  <si>
    <t>White, Jeffry M. (JSC-JM211)</t>
  </si>
  <si>
    <t xml:space="preserve">Houston </t>
  </si>
  <si>
    <t xml:space="preserve">The Johnson Space Center (JSC) Multiple Award Construction Contract (JMACC) will be a Multiple Award, Indefinite Delivery, Indefinite Quantity (IDIQ) contract vehicle for construction, revitalization, recapitalization, and infrastructure improvement projects at JSC funded under the Working Families Tax Credit (WFTC) (PL-119-21) (Formally known as One Big Beautiful Bill Act). </t>
  </si>
  <si>
    <t xml:space="preserve">The scope of work under the JMACC includes, but is not limited to:
•	General construction
•	Alteration, modification, and renovation of existing facilities
•	Maintenance and repair of buildings and infrastructure
•	Demolition of structures and facilities
•	Design-build services
•	New construction of buildings, facilities, and real property
</t>
  </si>
  <si>
    <t>New Freeze Dryer and Mandatory Accesories for Space Food Production</t>
  </si>
  <si>
    <t>xulei.wu@nasa.gov</t>
  </si>
  <si>
    <t>Not Applicable</t>
  </si>
  <si>
    <t>333415</t>
  </si>
  <si>
    <t>4110</t>
  </si>
  <si>
    <t>REFRIGERATION EQUIPMENT</t>
  </si>
  <si>
    <t xml:space="preserve">Air-Conditioning and Warm Air Heating Equipment and Commercial and Industrial Refrigeration Equipment Manufacturing </t>
  </si>
  <si>
    <t>JSC Space Food Systems Laboratory (SFSL) has received funding approval to procure a new freeze dryer. Freeze dryer is used for making over 50 different freeze dried foods supporting multiple flight programs and ground analog studies. SFSL currently has 2 freeze dryers, one of which is approaching 20 years old and at risk of failure. A new freeze dryer will also improve SFSL throughput.</t>
  </si>
  <si>
    <t xml:space="preserve">New freeze dryer will be used to freeze dry food to support multiple flight programs and ground analog studies. It has to fit in available SFSL square footage and provide at least 60 sq ft shelf dring surface. </t>
  </si>
  <si>
    <t>BG</t>
  </si>
  <si>
    <t>Flown Space Vehicle Multimodal Transportation (MMT) Multiple Award Contract  (MAC) Indefinite Delivery Indefinite Quantity (IDIQ)</t>
  </si>
  <si>
    <t>jason.c.phillips@nasa.gov</t>
  </si>
  <si>
    <t>C219</t>
  </si>
  <si>
    <t>ARCHITECT AND ENGINEERING- GENERAL: OTHER</t>
  </si>
  <si>
    <t>Nationwide US City w/ ability for overseas requirements</t>
  </si>
  <si>
    <t>Anticipated scope includes multimodal transportation services for large aerospace vehicles, spacecraft artifacts, aerospace hardware, flown space hardware, and other specialized Government cargo requiring engineering analysis, transportation  planning, preservation measures, specialized rigging systems, infrastructure coordination,  regulatory compliance, etc.</t>
  </si>
  <si>
    <t>The anticipated scope of work under the MMT includes, but is not limited to, multimodal transportation  services for large aerospace vehicles, spacecraft artifacts, aerospace hardware, flown space  hardware, and other specialized Government cargo requiring engineering analysis, transportation planning, preservation measures, specialized rigging systems, infrastructure coordination, regulatory compliance, and coordinated multimodal transportation execution.</t>
  </si>
  <si>
    <t xml:space="preserve">Astromaterials Glovebox Systems - Design and Fabrication (A-BOX)
</t>
  </si>
  <si>
    <t>andrea.d.harrington@nasa.gov</t>
  </si>
  <si>
    <t>334516</t>
  </si>
  <si>
    <t>6640</t>
  </si>
  <si>
    <t>LABORATORY EQUIPMENT AND SUPPLIES</t>
  </si>
  <si>
    <t xml:space="preserve">Analytical Laboratory Instrument Manufacturing </t>
  </si>
  <si>
    <t>To prepare for the return of lunar samples by the Artemis campaign, XI2 will need to procure numerous (15-17) custom curation gloveboxes for multiple purposes, including preliminary examination and general processing of cold and ambient Artemis samples.</t>
  </si>
  <si>
    <t xml:space="preserve">The primary purpose of A-BOX is the design, fabrication, testing, delivery, and installation of single-unit, multi-unit, or modular controlled-atmosphere glovebox systems (GS) to be acquired for the Astromaterials Research and Exploration Science (ARES) Curation facility at NASA Johnson Space Center (JSC). </t>
  </si>
  <si>
    <t>SURFACE POWER EXCHANGE CONNECTOR (SPEC)</t>
  </si>
  <si>
    <t>jeffrey.t.csank@nasa.gov</t>
  </si>
  <si>
    <t>1675</t>
  </si>
  <si>
    <t>SPACE VEHICLE COMPONENTS</t>
  </si>
  <si>
    <t>The Surface Power Exchange Connector and supported hardware would establish a common interface for power exchange from an Electrical Power System (EPS) to a Electrical Power Consuming Equipment (EPCE) as defined in the Lunar Surface integration Phase Power Specification (EHP-10069).</t>
  </si>
  <si>
    <t>The requirement is being moved to the JETS contract.</t>
  </si>
  <si>
    <t>The Surface Power Exchange Connector and supported hardware would establish a common interface for power exchange from an Electrical Power System to a Electrical Power Consuming Equipment. This supports the hardware definition requirements to ensure that diverse lunar surface assets, including the Pressurized Rover, Lunar Terrain Vehicle, Fission Surface Power, and habitats can reliably exchange energy using a common "plug-and-play" architecture. Nominally, a vehicle fixed mounted side of the connector will be incorporated to vehicle prior to launch with a mobile cable end delivered separately</t>
  </si>
  <si>
    <t>Rendezvous, Proximity Operations and Capture (RPOC) VI</t>
  </si>
  <si>
    <t>bryan.m.evans@nasa.gov</t>
  </si>
  <si>
    <t>Exploration Systems Development Mission Directorate (ESDMD);#Science Mission Directorate (SMD);#Space Operations Mission Directorate (SOMD)</t>
  </si>
  <si>
    <t>2028 Q2</t>
  </si>
  <si>
    <t>Provide engineering support services (research, analysis, design, development, integration, verification, test, evaluation, and operations support) supporting Guidance, Navigation and Control (GN&amp;C), system engineering, and rendezvous proximity operations, and capture activities.</t>
  </si>
  <si>
    <t>Tasks encompass the program architecture definition, analysis and development, as well as the entire spacecraft definition and development process including requirements development, concept development, technology development, system design, system and vehicle evaluation, system and vehicle test, verification, integration and operations support. Examples of tasks to support these systems includes the development of analysis tools, including modeling of space vehicles, vehicle subsystems, dynamics, and environment in a high-fidelity simulation environment, and development of tools.</t>
  </si>
  <si>
    <t>Commercial service contract to deliver rovers to the Moon</t>
  </si>
  <si>
    <t xml:space="preserve">To prepare for meeting Moon Base Ignition Day objectives </t>
  </si>
  <si>
    <t xml:space="preserve">Per John Trahan, withdraw because it does not belong to BL.  </t>
  </si>
  <si>
    <t>CLPS was established in 2018 as an innovative, service-based, competitive acquisition approach using commercial procurement strategies under an Indefinite delivery/indefinite quantity (IDIQ) contract awarded to 14 vendors. Task orders are firm fixed price for the full scope of delivery. The CLPS vendor is responsible for subcontracting the Launch Vehicle and obtaining all the necessary FAA and other agency approvals/licenses. Contracts are for deliveries to the Moon with the goal of  enabling rapid, frequent, and affordable access to the lunar surface.</t>
  </si>
  <si>
    <t>Mars Exploration Analog (MEA) Behavioral Health Performance (BHP) Training CADMUS (Crew Adaptive Decision-Making Under Stress)</t>
  </si>
  <si>
    <t>sheikh.m.ahsan@nasa.gov</t>
  </si>
  <si>
    <t>FL</t>
  </si>
  <si>
    <t>AN12</t>
  </si>
  <si>
    <t>HEALTH R&amp;D SERVICES; HEALTH CARE SERVICES; APPLIED RESEARCH</t>
  </si>
  <si>
    <t>New Smyrna Beach</t>
  </si>
  <si>
    <t>Occupational Health</t>
  </si>
  <si>
    <t>This task creates a standardized training suite and evaluation framework to strengthen adaptive decision making for crews and mission control under Artemis like stressors. Work includes needs analysis, training design, scenario development, Mars Exploration Analog (MEA) validation, operational field testing, and delivery of a deployable toolkit with foundational, refresher, and just in time module</t>
  </si>
  <si>
    <t>Competed under SAP</t>
  </si>
  <si>
    <t>This research task will develop, validate, and implement a comprehensive training and evaluation system to enhance crew and distributed team decision making under stress during deep space missions. This task is adapted from the principal investigators previously reviewed and approved NASA Human Exploration Research Analog (HERA) Campaign 8 proposal.</t>
  </si>
  <si>
    <t>Mars Exploration Analog (MEA) Countermeasures for Communication Delays</t>
  </si>
  <si>
    <t>CO</t>
  </si>
  <si>
    <t>Boulder</t>
  </si>
  <si>
    <t>The project quantifies how communication delays influence workload, performance, team dynamics, and decision-making across Mars-analog mission phases. It tests two communication countermeasures, evaluates their effects using multimodal measures, and produces guidelines and a decision making map to inform future mission communications protocols and autonomy strategies.</t>
  </si>
  <si>
    <t xml:space="preserve">This task investigates how communication delays during Mars-analog missions affect crew performance and decision-making, and tests countermeasures to mitigate those impacts. </t>
  </si>
  <si>
    <t>BHP Autonomous Monitoring Externals</t>
  </si>
  <si>
    <t>Laurel</t>
  </si>
  <si>
    <t>This task optimizes a multimodal DPM for longitudinal behavioral monitoring, enables its local, resource‑efficient deployment, and integrates it into the MEA campaign to provide psychologists with biweekly, model‑generated behavioral metrics. Deliverables include algorithm development, hardware selection and testing, MEA integration support, data analysis, and final reporting.</t>
  </si>
  <si>
    <t xml:space="preserve">A project to develop, locally deploy, and validate a multimodal Digital Phenotyping Model (DPM) for monitoring behavioral and psychiatric changes in crew members during the Mars Exploration Analog (MEA). </t>
  </si>
  <si>
    <t>Human Robot Safety</t>
  </si>
  <si>
    <t>Davis</t>
  </si>
  <si>
    <t>This task will investigate haptic collision avoidance cues, a novel leader follower robot arm controller, and haptic feedback alerting to enhance crew skill acquisition, retention, and operational safety. Deliverables include refined haptic hardware, validated control interface performance data, and integrated training/alerting protocols for MEA and future deep space missions.</t>
  </si>
  <si>
    <t xml:space="preserve">This research effort seeks to evaluate haptic-feedback technologies and intuitive manual-control methods to improve astronaut safety, training, and performance in robotic arm operations during deep space missions. </t>
  </si>
  <si>
    <t>Bedrest Research Services</t>
  </si>
  <si>
    <t>kelle.i.pido@nasa.gov</t>
  </si>
  <si>
    <t>AC25</t>
  </si>
  <si>
    <t>NATIONAL DEFENSE R&amp;D SVCS; ATOMIC ENERGY DEFENSE ACTIVITIES; R&amp;D FACILITIES &amp; MAJ EQUIP</t>
  </si>
  <si>
    <t>The Bedrest Research Services contract will implement a pilot bedrest study and subsequent 30-day bedrest research study at the contractor’s facility to accomplish Human Research Program objectives.  Primary objective is to demonstrate the facility and provider capabilities to successfully implement strict head down tilt bedrest required for research studies.</t>
  </si>
  <si>
    <t>The Bedrest Research Services contract will implement a pilot bedrest study and subsequent 30-day bedrest research study at the contractor’s facility to accomplish Human Research Program objectives.  Primary objective is to demonstrate the facility and provider capabilities to successfully implement strict head down tilt bedrest required for research studies.  Secondary objective is to demonstrate implementation of bedrest standard measures and study-specific tests and measures, including collection and distribution of data and samples.</t>
  </si>
  <si>
    <t>Underwater Training and Testing</t>
  </si>
  <si>
    <t>Underwater training, research and tech demo analog</t>
  </si>
  <si>
    <t>The Contractor shall provide the infrastructure, personnel, training, materials, foods, supplies, and operational support necessary to execute a multi-day Underwater Training / Testing Capability Demonstration. The primary objective is to systematically demonstrate and evaluate the contractor’s ability to perform spaceflight-analog training.  Secondary objective is to perform human research, and technology maturation within a subsea environment.</t>
  </si>
  <si>
    <t>Venous thrombosis countermeasures</t>
  </si>
  <si>
    <t>A</t>
  </si>
  <si>
    <t>RESEARCH AND DEVELOPMENT</t>
  </si>
  <si>
    <t>n/a</t>
  </si>
  <si>
    <t>Venous Thrombosis Countermeasures - Testing Venous Thrombosis Countermeasures including ISS flight testing</t>
  </si>
  <si>
    <t>Venouis Thrombosis Countermeasures procurement targets approaches to surveil, reduce risk of, and/or prevent venous thrombosis (VT) during spaceflight. This topic includes preflight medical screening, individual risk assessment, monitoring approaches, and countermeasures for spaceflight venous thrombosis.</t>
  </si>
  <si>
    <t xml:space="preserve">Emergency Medical Supportand Evacuation 5 (MedEvac5) Service </t>
  </si>
  <si>
    <t>mark.hershey-1@nasa.gov</t>
  </si>
  <si>
    <t>621910</t>
  </si>
  <si>
    <t>V225</t>
  </si>
  <si>
    <t>TRANSPORTATION/TRAVEL/RELOCATION- TRAVEL/LODGING/RECRUITMENT: AMBULANCE</t>
  </si>
  <si>
    <t xml:space="preserve">Ambulance Services </t>
  </si>
  <si>
    <t>NASA has a requirement for Emergency Medical Support and Evacuation Services. Theses services include, but are not limited to, comprehensive air and surface medical transport services appropriate for the condition of a sick or injured traveler; providing medical personnel, medical escorts, equipment and transportation that are fully certified and licensed, in accordance with local laws.</t>
  </si>
  <si>
    <t>NASA JSC has a requirement for Emergency Medical Support and Evacuation (MedEvac) Services. These services include, but are not limited to, comprehensive air and surface medical transport services appropriate for the condition of a sick or injured traveler; providing medical personnel, medical escorts, equipment and transportation that are fully certified and licensed, in accordance with local laws and regulations where operations are performed, to ensure the sick or injured traveler is provided the proper services to be stabilized prior to and during air and surface medical transport.</t>
  </si>
  <si>
    <t>Commercial Low Earth Orbit (LEO) Destination Contract (CLDC)</t>
  </si>
  <si>
    <t>angela.t.hart@nasa.gov</t>
  </si>
  <si>
    <t>V126</t>
  </si>
  <si>
    <t>TRANSPORTATION/TRAVEL/RELOCATION- TRANSPORTATION: SPACE TRANSPORTATION/LAUNCH</t>
  </si>
  <si>
    <t>Contractor's Facility</t>
  </si>
  <si>
    <t>This acquisition is for the work needed to design, develop, manufacture, test, launch, deploy, demonstrate, certify and provide engineering support of the Commercial LEO Destination System (CLDS). The CLDS is he sum of all systems, facilities, and activities required to build, launch, maintain, and operate a human occupied on-orbit station.</t>
  </si>
  <si>
    <t>Measurement of Core Temperature and Thermoregulatory Responses during and after Spaceflight in Astronauts</t>
  </si>
  <si>
    <t>maneesh.arya@nasa.gov</t>
  </si>
  <si>
    <t>541714</t>
  </si>
  <si>
    <t>Research and Development in Biotechnology (except Nanobiotechnology)</t>
  </si>
  <si>
    <t xml:space="preserve">NASA seeks characterization of core body temperature and thermoregulatory responses in astronauts before, during, and after spaceflight, including normal daily activities, exercise, and re-entry/landing.  </t>
  </si>
  <si>
    <t>Contract award pursuant to FAR 13.5</t>
  </si>
  <si>
    <t xml:space="preserve">We are seeking validated approaches to surveil and quantify core temperature and thermoregulatory responses at rest, during nominal spaceflight operations, during work, and in the performance of exercise, including rationale and methodology. </t>
  </si>
  <si>
    <t>KSC</t>
  </si>
  <si>
    <t>OPCS0</t>
  </si>
  <si>
    <t>Repave asphault areas around the VAB LCC consisting of parking areas and roadways approximately 10 acres.</t>
  </si>
  <si>
    <t>ronald.e.schoen@nasa.gov</t>
  </si>
  <si>
    <t>Kline, Elizabeth A. (KSC-LXO30)</t>
  </si>
  <si>
    <t>237310</t>
  </si>
  <si>
    <t>Z1LB</t>
  </si>
  <si>
    <t>MAINTENANCE OF HIGHWAYS/ROADS/STREETS/BRIDGES/RAILWAYS</t>
  </si>
  <si>
    <t>Human Exploration and Operations Mission Directorate</t>
  </si>
  <si>
    <t xml:space="preserve">Highway, Street, and Bridge Construction </t>
  </si>
  <si>
    <t>Sims, Tamara A. (KSC-OP000)</t>
  </si>
  <si>
    <t>Kennedy Space Center</t>
  </si>
  <si>
    <t>Repave asphault areas aroung the VAB LCC and Warf consisting of parking areas and roadways approximately 10 acres.</t>
  </si>
  <si>
    <t>Repave asphault areas around the Vehicle Assembly Building (VAB) Launch Control Center (LCC) consisting of parking areas and roadways approximately 10 acres.</t>
  </si>
  <si>
    <t>OPOS0</t>
  </si>
  <si>
    <t>Spaceport Infrastructure, Maintenance, and Operations (SIMO)</t>
  </si>
  <si>
    <t>jade.rymkos@nasa.gov</t>
  </si>
  <si>
    <t>Duffy, Sean P. (KSC-SI000)</t>
  </si>
  <si>
    <t>Z1AZ</t>
  </si>
  <si>
    <t>MAINTENANCE OF OTHER ADMINISTRATIVE FACILITIES AND SERVICE BUILDINGS</t>
  </si>
  <si>
    <t>Mission Support Directorate;#Human Exploration and Operations Mission Directorate;#Space Technology Mission Directorate;#Science Mission Directorate</t>
  </si>
  <si>
    <t>The Spaceport Infrastructure, Maintenance, and Operations (SIMO) contract will replace the BOSS contract, with NASA taking over spaceport integration activities and engineering for facilities, systems, equipment, and utilities at KSC and CCSFS. SIMO covers preventive and reactive maintenance for nearly 900 facilities, operational oversight, logistics management, and technical support.</t>
  </si>
  <si>
    <t>SIMO delivers mission-focused support at KSC and CCSFS: preventive/predictive maintenance of facilities, systems, equipment, and utilities; emergency repairs, trouble calls, and service requests; operations including equipment adjustment, watch standing, fuel management, hurricane prep, and remote monitoring and control via Supervisory Control and Data Acquisition and Building Automation Systems; logistics for supply, disposal, and transportation management; technical support for work control, environmental compliance, configuration management, and excavation (utility locating/surveying).</t>
  </si>
  <si>
    <t>OPLS0</t>
  </si>
  <si>
    <t>NASA Launch Services (NLS III) Contract</t>
  </si>
  <si>
    <t>robert.a.stute@nasa.gov</t>
  </si>
  <si>
    <t>Stute, Robert A. (KSC-VAB10)</t>
  </si>
  <si>
    <t>Science Mission Directorate;#Space Technology Mission Directorate;#Space Operations Mission Directorate (SOMD);#Exploration Systems Development Mission Directorate</t>
  </si>
  <si>
    <t>2030</t>
  </si>
  <si>
    <t>2030 Q3</t>
  </si>
  <si>
    <t>NASA Launch Services (NLS III) Contract. IDIQ contract to acquire launch services for NASA's high value science and exploration space craft.</t>
  </si>
  <si>
    <t xml:space="preserve">
  NASA Launch Services (NLS III) Contract.  IDIQ contract to acquire launch services for NASA's high value uncrewed spacecraft
</t>
  </si>
  <si>
    <t>Hangar AE Roof Replacement</t>
  </si>
  <si>
    <t>malcolm.d.boston@nasa.gov</t>
  </si>
  <si>
    <t>Boston, Malcolm D. (KSC-VAB10)</t>
  </si>
  <si>
    <t>J059</t>
  </si>
  <si>
    <t>MAINT/REPAIR/REBUILD OF EQUIPMENT- ELECTRICAL AND ELECTRONIC EQUIPMENT COMPONENTS</t>
  </si>
  <si>
    <t>8-21-2026 - Funds were provided earlier this CY and reroof rpoject was ATPd.  Expected to award in Q4 FY26.
2/11/2026 - This project will occur NET CY2027
12/12/2025 - No change to status from previous cycle.
6/4/2025 - No change to status from previous cycle.</t>
  </si>
  <si>
    <t xml:space="preserve">
  Replace the Hangar AE roof (re-roof)
</t>
  </si>
  <si>
    <t>Payload Hazardous Servicing Facility (PHSF) AHU Replacement</t>
  </si>
  <si>
    <t>8/21/26 - This project will occur NET CY2029
2/11/2026 - This project will occur NET CY 2028
12/12/2025 - No change to status from previous cycle.
6/4/2025 - No change to status from previous cycle.</t>
  </si>
  <si>
    <t xml:space="preserve">
  AHU Replacement
</t>
  </si>
  <si>
    <t>Hangar AE Air Handler Unit (AHU) Replacement</t>
  </si>
  <si>
    <t>8/21/2026 - No change to status from previous cycle.
2/11/2026 - This project will occur NET CY 2030
12/12/2025 - No change to status from previous cycle.
6/4/2025 - No change to status from previous cycle.</t>
  </si>
  <si>
    <t xml:space="preserve">This project will replace the air handler units (AHU) and related components.  </t>
  </si>
  <si>
    <t>OPMS0</t>
  </si>
  <si>
    <t>NASA Environmental Restoration and Compliance Contract (NERCCF) follow-on</t>
  </si>
  <si>
    <t>michael.j.deliz@nasa.gov</t>
  </si>
  <si>
    <t>Chrest, Anne M. (KSC-SIE20)</t>
  </si>
  <si>
    <t>541620</t>
  </si>
  <si>
    <t>Environmental Consulting Services</t>
  </si>
  <si>
    <t>Environmental Remediation</t>
  </si>
  <si>
    <t>2029 Q4</t>
  </si>
  <si>
    <t>This acquisition is for Architect-Engineer (A-E) Professional Environmental Restoration and Compliance Services at all NASA Centers, component facilities, and assets through an Agency-wide, Multiple Award, Indefinite Delivery, Indefinite Quantity (IDIQ) Contract.</t>
  </si>
  <si>
    <t xml:space="preserve">Agency wide - NASA Environmental Restoration and Compliance Contract </t>
  </si>
  <si>
    <t>NASA Fire Services Contract (NFSC)</t>
  </si>
  <si>
    <t>jon.c.davis@nasa.gov</t>
  </si>
  <si>
    <t>Davis, Jon C. (GSFC-SIP00)</t>
  </si>
  <si>
    <t>561990</t>
  </si>
  <si>
    <t>R499</t>
  </si>
  <si>
    <t>SUPPORT- PROFESSIONAL: OTHER</t>
  </si>
  <si>
    <t>All Other Support Services</t>
  </si>
  <si>
    <t>Protective Services</t>
  </si>
  <si>
    <t>Chenega Global Protection</t>
  </si>
  <si>
    <t>Consolidated Operations, Management, Engineering and Test (COMET) Follow-On Contract</t>
  </si>
  <si>
    <t>nicholas.s.reinert@nasa.gov</t>
  </si>
  <si>
    <t>Reinert, Nick (KSC-LXB00)</t>
  </si>
  <si>
    <t>AR15</t>
  </si>
  <si>
    <t>SPACE R&amp;D SVCS; SPACE FLIGHT, RESEARCH &amp; SUPPORTING ACTIVITIES; R&amp;D FACILITIES &amp; MAJ EQUIP</t>
  </si>
  <si>
    <t>2033</t>
  </si>
  <si>
    <t>2033 Q3</t>
  </si>
  <si>
    <t>Engineering; ground system development; flight vehicle/spacecraft processing; and launch, landing, and recovery operations in support of the following Exploration Systems Development (ESD) programs: Exploration Ground Systems (EGS), Space Launch System (SLS), and Orion Multi-Purpose Crew Vehicle (MPCV). The COMET contract will support the International Space Station and Launch Services Program.</t>
  </si>
  <si>
    <t>2032</t>
  </si>
  <si>
    <t>Engineering; ground system development; flight vehicle/spacecraft processing; and launch, landing, and recovery operations in support of the following Exploration Systems Development (ESD) programs: Exploration Ground Systems (EGS), Space Launch System (SLS), and Orion Multi-Purpose Crew Vehicle (MPCV). The COMET contract will support the International Space Station (ISS) Program, Launch Services
Program (LSP), and other NASA programs, commercial ventures, and partnerships at KSC.</t>
  </si>
  <si>
    <t xml:space="preserve">NASA Communication Services </t>
  </si>
  <si>
    <t>christopher.k.james@nasa.gov</t>
  </si>
  <si>
    <t>JAMES, CHRIS (HQ-NA070)</t>
  </si>
  <si>
    <t>541820</t>
  </si>
  <si>
    <t>R708</t>
  </si>
  <si>
    <t>SUPPORT- MANAGEMENT: PUBLIC RELATIONS</t>
  </si>
  <si>
    <t>Office of Communications (OCOMM)</t>
  </si>
  <si>
    <t>Public Relations Agencies</t>
  </si>
  <si>
    <t>The purpose of this contract(s) is to acquire communication and related services for the Office of Communications in support of all NASA centers and Mission Directorates. KSC Procurement is the designated buying location for communication services for the Agency pursuant to the enterprise procurement strategy at NASA Federal Acquisition Regulation (FAR) Supplement (NFS) Appendix A-102-17</t>
  </si>
  <si>
    <t>Safety and Mission Assurance Support Services V (SMASS V)</t>
  </si>
  <si>
    <t>kristina.irastorza@nasa.gov</t>
  </si>
  <si>
    <t>Richtmeyer, Michele L. (KSC-SAA00)</t>
  </si>
  <si>
    <t>Provides mission assurance, engineering, and risk assessment in the SMA disciplines at KSC and at other NASA SMA supported sites</t>
  </si>
  <si>
    <t>System safety engineering and analysis, quality assurance and engineering, mission assurance and integration, reliability and maintainability, software assurance, range safety, independent assessment, launch vehicle payload safety, and metrology and calibration. The successful offeror will perform these support services primarily at KSC; however, NASA may require resident support services at other NASA centers, facilities, or sites.</t>
  </si>
  <si>
    <t xml:space="preserve">Small Task Order Construction Contract </t>
  </si>
  <si>
    <t>nayza.m.caban@nasa.gov</t>
  </si>
  <si>
    <t>Caban Perez, Nayza M (KSC-NETK0)</t>
  </si>
  <si>
    <t>Z2AA</t>
  </si>
  <si>
    <t>REPAIR OR ALTERATION OF OFFICE BUILDINGS</t>
  </si>
  <si>
    <t>Multiple Award IDIQ Small Construction Task Order Contract</t>
  </si>
  <si>
    <t>Multiple Award Construction Contract (IDIQ) Capability to execute smaller task orders under $1M, with occasional repairs/Design Build Urgent requirements under $5M. The range is from $2K (min) - $5M (max).</t>
  </si>
  <si>
    <t>Launch Vehicle Integrated Support-4 (ELVIS 4)</t>
  </si>
  <si>
    <t>jacquelyn.s.leclaire@nasa.gov</t>
  </si>
  <si>
    <t>LeClaire, Jacquelyn (KSC-VAB10)</t>
  </si>
  <si>
    <t xml:space="preserve">Provides integrated launch vehicle services for the Launch Services Program and missions in the areas of Contract Management, Program Management, Safety and Mission Assurance, Launch Site Support, Technica Integration, Communications &amp; Telemetry, Vandenberg Space Force Base Operations, Information Technology, Special Studies, and Launch Vehicle Engineering &amp; Analysis. </t>
  </si>
  <si>
    <t>Repair/Upgrade Sewage Conveyance System, Ph 1 of 2</t>
  </si>
  <si>
    <t>casey.r.coffey@nasa.gov</t>
  </si>
  <si>
    <t>Coffey, Casey R. (KSC-NETG0)</t>
  </si>
  <si>
    <t>Y1</t>
  </si>
  <si>
    <t>CONSTRUCTION OF BUILDINGS</t>
  </si>
  <si>
    <t>Construction of sewage system redundant surge tanks and replacement of pumps, force mains, controls, and miscellaneous metal components at various locations.   Clean force mains in various locations.</t>
  </si>
  <si>
    <t>Replace LC-39 Area Power Ductbank</t>
  </si>
  <si>
    <t>This project replaces approximately 13,500 ft of aging underground power feeders and ductbanks in the KSC LC-39 Area.</t>
  </si>
  <si>
    <t>Replace VAB Roof Drains and Piping Repairs - PCN: 100552</t>
  </si>
  <si>
    <t>Schoen, Eli (KSC-LXD10)</t>
  </si>
  <si>
    <t>238160</t>
  </si>
  <si>
    <t>Z2JZ</t>
  </si>
  <si>
    <t>REPAIR OR ALTERATION OF MISCELLANEOUS BUILDINGS</t>
  </si>
  <si>
    <t xml:space="preserve">Roofing Contractors </t>
  </si>
  <si>
    <t xml:space="preserve">Replace VAB Roof Drains and Piping Repairs - PCN: 100552
</t>
  </si>
  <si>
    <t>VAB Elevator Repairs - Phase 1 - PCN: 100427</t>
  </si>
  <si>
    <t>238290</t>
  </si>
  <si>
    <t>3960</t>
  </si>
  <si>
    <t>FREIGHT ELEVATORS</t>
  </si>
  <si>
    <t xml:space="preserve">Other Building Equipment Contractors </t>
  </si>
  <si>
    <t>Service-Disabled Veteran-Owned Small Business Set Aside</t>
  </si>
  <si>
    <t>Roof Repairs - LCC, RPSF, Pad B Ops Bldg, and MPPF upper roof</t>
  </si>
  <si>
    <t>A&amp;E Services</t>
  </si>
  <si>
    <t>Roof Repairs - LCC, RPSF, Pad B Ops Bldg, and MPPF upper roof.
Project will replace built-up roof types with equivalent roof type.</t>
  </si>
  <si>
    <t>VAB Chilled Water Line Repairs - Design Refresh</t>
  </si>
  <si>
    <t>238220</t>
  </si>
  <si>
    <t>J045</t>
  </si>
  <si>
    <t>MAINT/REPAIR/REBUILD OF EQUIPMENT- PLUMBING, HEATING, AND WASTE DISPOSAL EQUIPMENT</t>
  </si>
  <si>
    <t xml:space="preserve">Plumbing, Heating, and Air-Conditioning Contractors </t>
  </si>
  <si>
    <t>Kennedy Exploration Ground Systems (LX) Support Services IV (KLXS IV)</t>
  </si>
  <si>
    <t>malia.r.commerce@nasa.gov</t>
  </si>
  <si>
    <t>Commerce, Malia R. (KSC-LXB30)</t>
  </si>
  <si>
    <t>The KLXS IV requirements are in support of the EGS mission goals as provided by Exploration Systems Development Mission Directorate (ESDMD) and include ground systems development and operational planning for launch vehicles, spacecraft, and payloads.  KLXS IV support crosses multiple projects and includes interfacing with other Programs including SLS and Orion.</t>
  </si>
  <si>
    <t>The scope of this contract includes supporting ground systems and space flight systems planning and design; project management and integration; operations integration and analysis; technical requirements development, management, and compliance; and cost, risk, information and configuration management, and schedule integration and analysis.</t>
  </si>
  <si>
    <t>Laboratory Support Services and Operations III (LASSO III)</t>
  </si>
  <si>
    <t>ivette.aponte@nasa.gov</t>
  </si>
  <si>
    <t>Aponte, Ivette Rivera (KSC-NETB0)</t>
  </si>
  <si>
    <t>541380</t>
  </si>
  <si>
    <t>Space Operations Mission Directorate (SOMD);#Exploration Systems Development Mission Directorate</t>
  </si>
  <si>
    <t>Testing Laboratories and Services</t>
  </si>
  <si>
    <t>Fixed Price Level of Effort</t>
  </si>
  <si>
    <t xml:space="preserve">LABORATORY SUPPORT SERVICES AND OPERATIONS III (LASSO III)  CONTRACT </t>
  </si>
  <si>
    <t>The purpose of the Laboratory Support Services and Operatiosn (LASSO) contract is to obtain conctractor support to operate and maintain a diverse set of laboratories, developmental shops and test facilities to provide laboratory services for Kennedy Space Center (KSC) in support of multiple customers and projects. LASSO support includes program managment; laboratory maintainance and support; operational laboratory services; and professional and technical support in laboratory environments for scientific research and engineering test and evaluation.</t>
  </si>
  <si>
    <t xml:space="preserve">Kennedy Operational and Institutional Support (KOIS) Contract. </t>
  </si>
  <si>
    <t>lyndsay.i.snead@nasa.gov</t>
  </si>
  <si>
    <t>Snead, Lyndsay I. (KSC-AAC20)</t>
  </si>
  <si>
    <t>These services include but are not limited to: Institutional Training (to include OSHA, EPA, USDOT mandated training, Employee and Organizational Development Training Support, and other operational safety training pertaining to KSC), Logistics and Internal Controls, Export Controls, and American Sign Language (ASL) Interpretation.</t>
  </si>
  <si>
    <t>NASA Agency-wide Acquisition of Nitrogen and Oxygen 5 (NANO 5)</t>
  </si>
  <si>
    <t>aaron.m.kempfert@nasa.gov</t>
  </si>
  <si>
    <t>KEMPFERT, AARON M. (KSC-SID10)</t>
  </si>
  <si>
    <t>9135</t>
  </si>
  <si>
    <t>LIQUID PROPELLANT FUELS AND OXIDIZERS, CHEMICAL BASE</t>
  </si>
  <si>
    <t>Mission Support Directorate (MSD);#Exploration Systems Development Mission Directorate (ESDMD)</t>
  </si>
  <si>
    <t>Multiple</t>
  </si>
  <si>
    <t>Fixed Price with Economic Price Adjustment</t>
  </si>
  <si>
    <t>NASA Agency-wide Acquisition of Nitrogen and Oxygen 5 (NANO 5) Acquisition</t>
  </si>
  <si>
    <t>Venture Class and Dedicated Rideshare</t>
  </si>
  <si>
    <t>ana.m.rivera@nasa.gov</t>
  </si>
  <si>
    <t>Rivera, Ana (KSC-VAB10)</t>
  </si>
  <si>
    <t>481212</t>
  </si>
  <si>
    <t xml:space="preserve">Nonscheduled Chartered Freight Air Transportation </t>
  </si>
  <si>
    <t>2031</t>
  </si>
  <si>
    <t>ksc</t>
  </si>
  <si>
    <t>2032 Q1</t>
  </si>
  <si>
    <t>Commercial launch service IDIQ contract</t>
  </si>
  <si>
    <t>Replace existing package chiller - Multi-payload processing facility (MPPF)</t>
  </si>
  <si>
    <t>811310</t>
  </si>
  <si>
    <t xml:space="preserve">Commercial and Industrial Machinery and Equipment (except Automotive and Electronic) Repair and Maintenance </t>
  </si>
  <si>
    <t xml:space="preserve">Replace existing package chiller - MPPF </t>
  </si>
  <si>
    <t>Replace existing package chiller - Multi-payload processing facility with option to replace existing package chiller at the Pad B Operations building.</t>
  </si>
  <si>
    <t xml:space="preserve">Sierra Space prototype root modules HANDIVEG </t>
  </si>
  <si>
    <t>orlando.melendez-1@nasa.gov</t>
  </si>
  <si>
    <t>Melendez, Orlando (KSC-UBA00)</t>
  </si>
  <si>
    <t>WI</t>
  </si>
  <si>
    <t>25</t>
  </si>
  <si>
    <t>VEHICULAR EQUIPMENT COMPONENTS</t>
  </si>
  <si>
    <t>Madison</t>
  </si>
  <si>
    <t>Acquisition Support Services</t>
  </si>
  <si>
    <t>2026 Q1</t>
  </si>
  <si>
    <t>The Sierra Space prototype root modules HANDIVEG technology for plant systems in ISS will deliver water, nutrients, and oxygen at optimal levels within plants' root zones at reduced gravity. The HANDIVEG technology developed by Sierra Space also optimizes volume spacing and water re-use for multiple plant growth cycles without the need for re-supplying</t>
  </si>
  <si>
    <t>The Sierra Space root modules HANDIVEG is a prototype, reusable space crop rooting module, which integrates into NASA’s Ohalo III. The procurement is for the fabrication of the prototype and it includes parts, labor, fabrication, testing, reviews, and certification. Ohalo III will serve as a testbed for the validation of crop production systems and technologies on the ISS. Ohalo III is a prototype crop production system that will validate water delivery, volume optimization, and advance knowledge on crop production operations which will inform design decisions for a future systems.</t>
  </si>
  <si>
    <t>Sanitary Sewer Infiltration Repairs Phase 2</t>
  </si>
  <si>
    <t>maureen.d.dalton@nasa.gov</t>
  </si>
  <si>
    <t>Dalton, Maui (KSC-NETG0)</t>
  </si>
  <si>
    <t xml:space="preserve">Repairs to manholes and gravity sewers at KSC. </t>
  </si>
  <si>
    <t>Southeast Regional Architect Engineering Contract 2 (SERAE 2)</t>
  </si>
  <si>
    <t>neal.w.colvin@nasa.gov</t>
  </si>
  <si>
    <t>Colvin, Neal W. (KSC-NETI0)</t>
  </si>
  <si>
    <t>C1</t>
  </si>
  <si>
    <t>ARCH-ENG SVCS - CONSTRUCTION</t>
  </si>
  <si>
    <t>Multiple Award IDIQ Southeast Regional Architect Engineering Contract 2 (SERAE 2)</t>
  </si>
  <si>
    <t xml:space="preserve">Recompete of SERAE for Multiple Award IDIQ contracts for Architect-Engineer (A-E) Services for the Design and Other Professional Services Necessary for Kennedy Space Center (KSC), Johnson Space Center (JSC), Marshall Space Flight Center (MSFC), Stennis Space Center (SSC), and other NASA assets. Specialized experience in engineering analysis and design, with major emphasis on ordinary and complex systems and infrastructure, including, but not limited to, the following disciplines: Civil, Structural, Mechanical, Electrical, and Architecture.
</t>
  </si>
  <si>
    <t>Replace LC-39 Area Power Ductbank, Phase 2</t>
  </si>
  <si>
    <t>Provides new feeders between Switching Station 900 and Launch Pad 39B. Provides increased Launch Complex 39 area capacity, true redundant distribution, and ability to support outages from maintenance, repairs, and modifications. This project also addresses concerns with upstream medium voltage breakers at the C-5 Substation.</t>
  </si>
  <si>
    <t>Repair/Upgrade Industrial Water Pumping Station, Bldg J7-1388</t>
  </si>
  <si>
    <t>The pump station provides critical support to Launch Complex 39A &amp; 39B. Project will install a new pump station adjacent to the existing pump station, and then demolish the existing pump station.</t>
  </si>
  <si>
    <t>Modify Pump House (OPF) and Distribution System, Bldg K6-0895</t>
  </si>
  <si>
    <t>Project to replace deteriorated pump house and demolish the existing pump house facility.</t>
  </si>
  <si>
    <t>Modify Converter/Compressor Building, Bldg K7-0468, Phase 3</t>
  </si>
  <si>
    <t>This project will install helium compressors to capture and compress helium that would otherwise be vented during the chill down and blowby operations of the liquid helium pump.  This project would also remove the obsolete compressors system and test console.</t>
  </si>
  <si>
    <t>NASA Protective Services Contract -South Region (NPSC-SR) II</t>
  </si>
  <si>
    <t>561612</t>
  </si>
  <si>
    <t>S206</t>
  </si>
  <si>
    <t>HOUSEKEEPING- GUARD</t>
  </si>
  <si>
    <t xml:space="preserve">Security Guards and Patrol Services </t>
  </si>
  <si>
    <t xml:space="preserve">This is the recompete of the protective services contract.   It will cover select NASA installations: KSC, Johnson Space Center (JSC), Marshall Space Flight Center (MSFC), Stennis Space Center (SSC), and Ames Research Center (ARC), as well as all nearby component facilities, including White Sands Test Facility (WSTF) and White Sands Complex (WSC), and Michoud Assembly Facility (MAF).  </t>
  </si>
  <si>
    <t>The acquisition of protective services support for the following locations: KSC, Johnson Space Center (JSC), Marshall Space Flight Center (MSFC), Stennis Space Center (SSC), and Ames Research Center (ARC), as well as all nearby component facilities, including White Sands Test Facility (WSTF) and White Sands Complex (WSC), and Michoud Assembly Facility (MAF).</t>
  </si>
  <si>
    <t>ARC</t>
  </si>
  <si>
    <t>Ames Facilities Support Services (AFSS) II</t>
  </si>
  <si>
    <t>michael.m.lehner@nasa.gov</t>
  </si>
  <si>
    <t>Foreman, Anna M. (ARC-JAC)</t>
  </si>
  <si>
    <t>Z1JZ</t>
  </si>
  <si>
    <t>MAINTENANCE OF MISCELLANEOUS BUILDINGS</t>
  </si>
  <si>
    <t>Watts, Robert E. (SSC-BA111)</t>
  </si>
  <si>
    <t>Moffett Field</t>
  </si>
  <si>
    <t>Facilities O&amp;M</t>
  </si>
  <si>
    <t>Ames Facilities Support Services</t>
  </si>
  <si>
    <t>Obtain a comprehensive, reliable, and cost effective facilities maintenance, operations, and maintenance engineering program that ensures facilities are fully operational and safe for NASA ARC to carry out its mission</t>
  </si>
  <si>
    <t>JAI</t>
  </si>
  <si>
    <t xml:space="preserve">NASA Advanced Computing Services (NACS)  </t>
  </si>
  <si>
    <t>ted.a.manning@nasa.gov</t>
  </si>
  <si>
    <t>Manning, Ted A. (ARC-TN)</t>
  </si>
  <si>
    <t>DB01</t>
  </si>
  <si>
    <t>IT AND TELECOM - HIGH PERFORMANCE COMPUTING (HPC) SUPPORT SERVICES (LABOR)</t>
  </si>
  <si>
    <t xml:space="preserve"> Moffett Field</t>
  </si>
  <si>
    <t>2028 Q4</t>
  </si>
  <si>
    <t xml:space="preserve">The NASA Advanced Computing Services (NACS)  contract provides the advanced computing services required to support NASA. It primarily covers the NASA Advanced Supercomputing (NAS) Division at Ames Research Center (ARC) and the NASA Center for Climate Simulation (NCCS) at Goddard Space Flight Center (GSFC). </t>
  </si>
  <si>
    <t xml:space="preserve">The NASA Advanced Computing Services (NACS)  contract provides the advanced computing services required to support NASA. It primarily covers the NASA Advanced Supercomputing (NAS) Division at Ames Research Center (ARC) and the NASA Center for Climate Simulation (NCCS) at Goddard Space Flight Center (GSFC). Services to other NASA Centers and the Jet Propulsion Laboratory (JPL) may be required in the future. Additionally, the NACS contract supports mission-driven science and engineering for NASA using advanced computing services. </t>
  </si>
  <si>
    <t>INTELLIGENT SYSTEMS RESEARCH AND DEVELOPMENT SUPPORT (ISRDS-4)</t>
  </si>
  <si>
    <t>linda.t.kobayashi@nasa.gov</t>
  </si>
  <si>
    <t>Kobayashi, Linda T. (ARC-TI)</t>
  </si>
  <si>
    <t>Aeronautics Research Mission Directorate (ARMD);#Exploration Systems Development Mission Directorate;#Science Mission Directorate (SMD);#Space Technology Mission Directorate (STMD);#Space Operations Mission Directorate (SOMD)</t>
  </si>
  <si>
    <t>ISRDS-3 Re-compete.  Note for Product Service Line under Details there is no option for R&amp;D so Engineering is selected.</t>
  </si>
  <si>
    <t xml:space="preserve">ISRDS-4 defines the research and development requirements in the following domains:  artificial intelligence (AI), knowledge-based systems, knowledge discovery and data mining, information processing and sensors, signal analysis and feature extraction, model-based diagnostic reasoning, system fault diagnostics, prognostics, decision making, automated software methodologies, software verification, validation and safety assurance, fault-tolerant computing hardware and networking, tele-presence and tele-control of remote, mobile platforms, autonomous and adaptive control, unmanned aero and more. </t>
  </si>
  <si>
    <t>JAZ</t>
  </si>
  <si>
    <t>Project and Engineering Support Services PESS III</t>
  </si>
  <si>
    <t>paresh.a.bhavsar@nasa.gov</t>
  </si>
  <si>
    <t>Bhavsar, Paresh A. (ARC-R)</t>
  </si>
  <si>
    <t>AR14</t>
  </si>
  <si>
    <t>SPACE R&amp;D SERVICES; SPACE FLIGHT, RESEARCH AND SUPPORTING ACTIVITIES; R&amp;D ADMINISTRATIVE EXPENSES</t>
  </si>
  <si>
    <t xml:space="preserve">Moffett Field </t>
  </si>
  <si>
    <t>The primary objective is to support Project and Engineering Support Services at the NATIONAL Aeronautics and Space Administration’s (NASA) Ames Research Center (ARC) with the capabilities of supporting all NASA Centers.</t>
  </si>
  <si>
    <t>GRC</t>
  </si>
  <si>
    <t>CHC0</t>
  </si>
  <si>
    <t>Northeastern Regional Multiple Award Construction Contract (NRMACC)</t>
  </si>
  <si>
    <t>christopher.m.colwell@nasa.gov</t>
  </si>
  <si>
    <t>Colwell, Christopher M. (GRC-FDP0)</t>
  </si>
  <si>
    <t>Y1HB</t>
  </si>
  <si>
    <t>CONSTRUCTION OF GOVERNMENT-OWNED GOVERNMENT-OPERATED (GOGO) R&amp;D FACILITIES</t>
  </si>
  <si>
    <t>SBA Small Business Set Aside - Total</t>
  </si>
  <si>
    <t xml:space="preserve">The principal purpose of this follow-on contract is to provide construction services for the northeastern region which encompasses Glenn Research center (GRC), Goddard Space Flight Center (GSFC) and Langley Research Center (LaRC). The Northeastern Multiple Award Construction Contract (NRMACC), will require general construction services as defined by individual task orders. Work to be performed may include but is not limited to Structural, Civil, Mechanical, Electrical, Environmental, Architectural, and other specialized services. </t>
  </si>
  <si>
    <t>Glenn Engineering and Research Support II (GEARS II)</t>
  </si>
  <si>
    <t>william.l.barrington@nasa.gov</t>
  </si>
  <si>
    <t>Barrington, William L. (GRC-L000)</t>
  </si>
  <si>
    <t>OH</t>
  </si>
  <si>
    <t xml:space="preserve">GEARS is the primary contract whereby the Center receives engineering, research, and scientific support.  This includes but is not limited to:
- Research and Engineering Support – support to the GRC Core Competency areas: Communications &amp; intelligent systems, power, propulsion, materials &amp; structures and systems engineering &amp; architecture
- Fundamental research on space or gravity dependent combustion and fluid systems
- Facilities Engineering Support
- Testing Engineering Support
- Manufacturing Engineering Support
- Project Management Support
- Configuration/Data management and Scheduling
 </t>
  </si>
  <si>
    <t>BPA Machine Tool Maintenance and Repair and Chemical Shed Management Services</t>
  </si>
  <si>
    <t>christine.martinez@nasa.gov</t>
  </si>
  <si>
    <t>Martinez, Christine Marie (ARC-STA)</t>
  </si>
  <si>
    <t>J034</t>
  </si>
  <si>
    <t>MAINT/REPAIR/REBUILD OF EQUIPMENT- METALWORKING MACHINERY</t>
  </si>
  <si>
    <t>MOFFETT FIELD</t>
  </si>
  <si>
    <t>Women-Owned Small Business</t>
  </si>
  <si>
    <t>2030 Q1</t>
  </si>
  <si>
    <t xml:space="preserve">The contractor shall provide required maintenance, repair, and an optimization program, including emergency and unscheduled repair, for NASA ARC Code S and Code Y machines. All maintenance &amp; Linear Error Evaluation and Calibration (LEE&amp;C) services will be awarded as Firm-Fixed Priced (FFP) Blanket Purchase Agreement (BPA) calls. All repairs will be awarded as Time and Materials (T&amp;M) BPA calls. </t>
  </si>
  <si>
    <t xml:space="preserve">The work to be performed includes services to maintain, repair, and provide an optimized program for machines in Code S and Y. The services needed require a contractor that is factory-certified to service multiple machines that use Heidenhain controller and measuring devices in their operation. Additionally, the contractor will maintain and manage the N245 chemical shed and chemical inventory in this shed at NASA ARC. </t>
  </si>
  <si>
    <t>Aviation Safety Reporting System and Related Systems (ASRS-RS)</t>
  </si>
  <si>
    <t>becky.l.hooey@nasa.gov</t>
  </si>
  <si>
    <t>Hooey, Becky L. (ARC-TH)</t>
  </si>
  <si>
    <t>Mountain View</t>
  </si>
  <si>
    <t>2029 Q3</t>
  </si>
  <si>
    <t>Operate the Aviation Safety Reporting System (ASRS) and the Confidential Close Call Reporting System (C3RS)</t>
  </si>
  <si>
    <t>The mission of the Aviation Safety Reporting System (ASRS) and the Confidential Close Call Reporting System (C3RS) is to analyze safety reports and dissemintate the de-identified safety information concerning potential hazard in the aviation and rail communities</t>
  </si>
  <si>
    <t>Aeronautics and Spaceflight Systems Engineering Support Services (ASSESS) II</t>
  </si>
  <si>
    <t>mary.e.livingston@nasa.gov</t>
  </si>
  <si>
    <t>Livingston, Mary E. (ARC-AT)</t>
  </si>
  <si>
    <t>Research and Development in the areas of aeronautics and spaceflight systems</t>
  </si>
  <si>
    <t xml:space="preserve">The primary objective of the ASESS contract is to conduct and support research and technology development in order to meet evolving NASA mission objectives with respect to aircraft and spaceflight systems. Work requirements include support of scientific research; engineering design, analysis, and development; technology readiness level (TRL) advancement of work associated with evolving NASA missions; implementation of technology programs; test implementation and operations; systems analysis and conceptual design; and program/project management support. </t>
  </si>
  <si>
    <t>Aerospace Research Technology and Simulation (ARTS) Follow-on</t>
  </si>
  <si>
    <t>julie.nguyen@nasa.gov</t>
  </si>
  <si>
    <t>Nguyen, Julie Thuy (ARC-AF)</t>
  </si>
  <si>
    <t xml:space="preserve">Technical services to support the simulation facilities and the persistent software facilities located at the National Aeronautics and Space Administration’s (NASA) Ames Research Center (ARC) and the Flight Simulation Facilities at Langley Research Center (LaRC). </t>
  </si>
  <si>
    <t>ARC simulation facilities, both physical assets and software assets, shall be referred to as the ARTS Facilities, are unique national research and development facilities dedicated to providing researchers with high-fidelity environments to conduct simulated flight and air traffic management (ATM) research and advance the state-of-the-art of simulation technology. Researchers use the facilities to investigate a variety of topics ranging from the design of new aircraft guidance and control systems to the human factors implications of new or existing flight deck displays, airspace operations.</t>
  </si>
  <si>
    <t>JAC</t>
  </si>
  <si>
    <t>FILMSS (Fully Integrated Lifecycle Mission Support Services) 3</t>
  </si>
  <si>
    <t>frances.m.donovan@nasa.gov</t>
  </si>
  <si>
    <t>Donovan, Frances M (ARC-SCB)</t>
  </si>
  <si>
    <t>R405</t>
  </si>
  <si>
    <t>SUPPORT- PROFESSIONAL: OPERATIONS RESEARCH/QUANTITATIVE ANALYSIS</t>
  </si>
  <si>
    <t>FILMSS 3 will provide program, science, engineering, operations, and project management support for such efforts as biosciences flight development projects, collaborative science programs , aeronautics research projects, and various Ames offices.</t>
  </si>
  <si>
    <t>Procurement is opening a new requirement PEMMS that will include the requirements previously expected to be on FILMSS3</t>
  </si>
  <si>
    <t>This contract will provide program, science, engineering, operations and project management support for such efforts as biosciences flight development projects (e.g., mission implementation, instrument development, and technology advancement efforts), collaborative science programs (e.g., astrobiology, virtual institutes), aeronautics research projects, and various Ames offices. This contract will also provide specialized technical and professional support for Ames Mission Support work.</t>
  </si>
  <si>
    <t>Center Occupational Safety, Health, Medical, System Safety and Mission Assurance Contract (COSMC) 2</t>
  </si>
  <si>
    <t>alan.r.crocker@nasa.gov</t>
  </si>
  <si>
    <t>Crocker, Alan R. (ARC-Q)</t>
  </si>
  <si>
    <t>541690</t>
  </si>
  <si>
    <t>Office of Safety and Mission Assurance (OSMA);#Office of the Chief Health and Medical Officer (OCHMO)</t>
  </si>
  <si>
    <t>Other Scientific and Technical Consulting Services</t>
  </si>
  <si>
    <t>Moffet Field</t>
  </si>
  <si>
    <t>Safety, Health, Medical and Mission Assurance services and related services</t>
  </si>
  <si>
    <t>The COSMC 2 Contractor will be responsible for providing Safety, Health, Medical and Mission Assurance services and related services for the ARC Safety and Mission Assurance Directorate. Required services encompass support to the Occupational Safety, Health, and Medical Services Division (Code QH) and the Systems Safety and Mission Assurance (SSMA) Division (Code QS).</t>
  </si>
  <si>
    <t>Logistics Support Services (LSS)</t>
  </si>
  <si>
    <t>monica.m.mendoza@nasa.gov</t>
  </si>
  <si>
    <t>Mendoza, Monica M. (ARC-JS)</t>
  </si>
  <si>
    <t>2029 Q2</t>
  </si>
  <si>
    <t>Support mission responsibilities of the Logistics Management (LMD) by providing logistics support and other services.</t>
  </si>
  <si>
    <t>Service shall be provided to both institutional and technical programs and projects, and include lifecycle logistics, supply and materials, transportation, equipment, mail, and disposal management.</t>
  </si>
  <si>
    <t xml:space="preserve">NASA Academic Mission Services-2 (NAMS2) follow-on
</t>
  </si>
  <si>
    <t>paul.f.borchers@nasa.gov</t>
  </si>
  <si>
    <t>Borchers, Paul F. (ARC-AF)</t>
  </si>
  <si>
    <t>Moffett Field, CA</t>
  </si>
  <si>
    <t>This contract will provide ARC with capabilities to fulfill mission requirements from fundamental R&amp;D through field-test deployments and operational missions.</t>
  </si>
  <si>
    <t>Provide scientific research associated with air traffic management, advanced technology, nanoelectronics, and prototype software. The purpose of the contract is to meet NASA aeronautics and technology mission objectives, particularly the improvement of aircraft and airspace safety as well as the transition of advanced aeronautics technologies into future air vehicles.</t>
  </si>
  <si>
    <t>Lunar Surface C&amp;PNT architecture for an Integrated Lunar Surface Network</t>
  </si>
  <si>
    <t/>
  </si>
  <si>
    <t>Potential for BAA to be added to "NextStep II Appendix R" for study developing a Lunar Surface C&amp;PNT architecture for an Integrated Lunar Surface Network</t>
  </si>
  <si>
    <t>Concept study and acquisition strategy for an integrated system that provides reliable communications, precise location tracking, accurate navigation, and synchronized timing across the lunar surface.</t>
  </si>
  <si>
    <t>Development Plan for Open Fan Flight Demonstration</t>
  </si>
  <si>
    <t>anthony.l.nerone@nasa.gov</t>
  </si>
  <si>
    <t xml:space="preserve">The Subsonic Vehicle Technology and Tools (SVTT) Project under the Advanced Air Vehicles Program (AAVP) in the Aeronautics Research Mission Directorate (ARMD) intends to pursue an Open Fan Flight Demonstration Development Plan with contributions from an external entity(ies) to address Congressional guidance included in the enacted Fiscal Year (FY)26 NASA budget. The bjective is to develop a comprehensive plan that defines the requirements, scope, and feasibility of an open-fan flight demonstration. 
</t>
  </si>
  <si>
    <t>Subsonic Vehicle Technologies and Tools (SVTT) Project Skyline NRA</t>
  </si>
  <si>
    <t>joseph.w.connolly@nasa.gov</t>
  </si>
  <si>
    <t>Cost Sharing</t>
  </si>
  <si>
    <t xml:space="preserve">The Skyline NRA will solicit for technology development activities supporting roadmaps for future commercial aircraft technologies. This NRA will advertise several key topic areas that support the new Subsonic Vehicle Technologies and Tools (SVTT) Project to perform risk reduction activities to make progress maturing these technologies. The outcome will be fully developed plans for future vehicle technologies and some completed development tasks to achieve progress on those roadmaps. </t>
  </si>
  <si>
    <t>DMX 80U Machine</t>
  </si>
  <si>
    <t>emmett.quigley@nasa.gov</t>
  </si>
  <si>
    <t>332721</t>
  </si>
  <si>
    <t>3408</t>
  </si>
  <si>
    <t>MACHINING CENTERS AND WAY-TYPE MACHINES</t>
  </si>
  <si>
    <t xml:space="preserve">Precision Turned Product Manufacturing </t>
  </si>
  <si>
    <t xml:space="preserve">DMX 80U Machine </t>
  </si>
  <si>
    <t>DMX 80U Machine &amp; Options, Services, Packing, Transport, Installation, and Tooling. We will be submitting a PR package with market research attached soon.</t>
  </si>
  <si>
    <t>CHB0</t>
  </si>
  <si>
    <t>Lunar Enabling Infrastructure Accelerator (LEIA) -Broad Agency Announcement (BAA) NextSTEP-3 Appendix A</t>
  </si>
  <si>
    <t>matthew.l.curtin@nasa.gov</t>
  </si>
  <si>
    <t xml:space="preserve">NASA/Glenn Research Center (GRC) plans to issue an Appendix under the Next Space Technologies for Exploration Partnership (NextSTEP-3) Broad Agency Announcement (BAA), titled Appendix A- Lunar Enabling Infrastructure Accelerator (LEIA) on behalf of the Space Technology Mission Directorate (STMD).
</t>
  </si>
  <si>
    <t>Through the Appendix that NASA GRC plans to solicit, STMD seeks proposals from U.S. institutions to mature and demonstrate capabilities in the areas of vertical solar arrays, in situ resource utilization (ISRU) oxygen production systems, Stirling radioisotope generators, in-space manufacturing, and advanced nanomaterials production. These targeted technology areas require further risk reduction and ground demonstrations to advance competing solutions to Technology Readiness Levels (TRL) 5-6. The efforts supported under this solicitation advance the technology objectives of NASA’s Moon Base.</t>
  </si>
  <si>
    <t xml:space="preserve">Glenn Research Center's janitorial services contract.  </t>
  </si>
  <si>
    <t>jason.p.smith@nasa.gov</t>
  </si>
  <si>
    <t>561720</t>
  </si>
  <si>
    <t>S201</t>
  </si>
  <si>
    <t>HOUSEKEEPING- CUSTODIAL JANITORIAL</t>
  </si>
  <si>
    <t xml:space="preserve">Janitorial Services </t>
  </si>
  <si>
    <t>Cleveland</t>
  </si>
  <si>
    <t>Custodial Services</t>
  </si>
  <si>
    <t>Glenn Research Center's janitorial services under the upcoming Enterprise Custodial, Landscape, and Pest Services (ECLPS) BPA vehicle.  To provides janitorial cleaning services to 71 buildings on GRC Lewis Field with options for pest management, and landscape/grounds.</t>
  </si>
  <si>
    <t>Glenn Research Center's janitorial services under the upcoming Enterprise Custodial, Landscape, and Pest Services (ECLPS) BPA vehicle. To provides janitorial cleaning services to 71 buildings on GRC Lewis Field with options for pest management, and landscape/grounds.  Provides emergency IDIQ cleaning services and special event IDIQ cleaning services for venues on GRC.  Performs annual floor maintenance to include solid surface floor stripping and waxing as well as carpet cleaning.  Performs annual Lewis Field window cleaning.</t>
  </si>
  <si>
    <t xml:space="preserve">Unitary Plan Wind Tunnel Model Support Machined Parts
</t>
  </si>
  <si>
    <t>carl.e.kruger@nasa.gov</t>
  </si>
  <si>
    <t>332710</t>
  </si>
  <si>
    <t>AS25</t>
  </si>
  <si>
    <t>TRANSPORTATION R&amp;D SERVICES; AEROSPACE RESEARCH; EXPENSES FOR R&amp;D FACILITIES AND MAJOR EQUIPMENT</t>
  </si>
  <si>
    <t>Machine Shops</t>
  </si>
  <si>
    <t>The Contractor shall furnish all material certifications, forgings, machining, grinding, heat treating, inspection reports, and shipping to NASA Ames Research Center, Moffett Field, California, for all machined parts required by the UPWT wind tunnel model support systems.  This is a best value procurement.</t>
  </si>
  <si>
    <t>This is a best value procurement for 244 machined parts.  The largest and most complex parts (up to 99" long, 15.5" diameter, 1400 lb) to be made from ASTM A668 forgings.  Some parts require precision grinding of bearing race lands to .0005” to .001” roundness and cylindricity.  Contractor responsible for procuring forgings, material certifications, machining, grinding, heat treating, inspection reports, and shipping to NASA Ames Research Center.</t>
  </si>
  <si>
    <t>IM&amp;TE Calibration Services</t>
  </si>
  <si>
    <t>mark.washington@nasa.gov</t>
  </si>
  <si>
    <t>811210</t>
  </si>
  <si>
    <t>J066</t>
  </si>
  <si>
    <t>MAINT/REPAIR/REBUILD OF EQUIPMENT- INSTRUMENTS AND LABORATORY EQUIPMENT</t>
  </si>
  <si>
    <t xml:space="preserve">Electronic and Precision Equipment Repair and Maintenance </t>
  </si>
  <si>
    <t xml:space="preserve">The National Aeronautics and Space Administration (NASA) Ames Research Center (ARC) has a requirement for Inspection, Measurement, and Test Equipment (IM&amp;TE) calibration services for the Wind Tunnel Division (Codes AFS, AOO, AOI, AOX), and the Entry Systems and Technology Division (Codes TSF and TSM).
 </t>
  </si>
  <si>
    <t>Ames Innovation and Research</t>
  </si>
  <si>
    <t>Ames Research Center</t>
  </si>
  <si>
    <t xml:space="preserve">Research and Development </t>
  </si>
  <si>
    <t xml:space="preserve">Research and technology development to meet evolving National Aeronautics and Space Administration (NASA) mission objectives providing capabilities in areas including advanced information systems technology; advanced computing and software engineering; engineering design, simulation, analysis, and development; aviation operations research and technology development; and advanced materials research, test, analysis, development, and deployment.  </t>
  </si>
  <si>
    <t>Project Engineering, Manufacturing, and Science Services (PEMSS)</t>
  </si>
  <si>
    <t>Project Engineering, Manufacturing, and Science Services (PEMSS) will provide engineering, manufacturing services and specialized science supporting these activities and NASA’s mission. Work will include cooperative activities with other contractors, NASA Centers, and Federal Agencies</t>
  </si>
  <si>
    <t>This Performance Work Statement (PWS) defines the requirements to support  engineering, science, and technology development in order to meet evolving NASA Ames Research Center mission objectives, along with interrelated mission functions of the Agency, other NASA Centers, and Government Agencies. The Project Engineering, Manufacturing, and Science Services (PEMSS) contract requirements will be executed on Task Orders (TOs) in accordance with NFS 1852.216-80 “Task Ordering Procedure” identified in Section H of the contract.</t>
  </si>
  <si>
    <t>Ames Facilities Support Services III</t>
  </si>
  <si>
    <t>2031 Q3</t>
  </si>
  <si>
    <t xml:space="preserve"> Ames Facilities Support Services </t>
  </si>
  <si>
    <t>Obtain a comprehensive, reliable, and cost effective facilities maintenance, operations, and maintenance engineering program that ensures facilities are fully operational and safe for NASA ARC to carry out its mission.</t>
  </si>
  <si>
    <t>AFRC</t>
  </si>
  <si>
    <t>210</t>
  </si>
  <si>
    <t>Western Regional Multiple Award Construction Contracts (WRMACC)</t>
  </si>
  <si>
    <t>william.j.josler@nasa.gov</t>
  </si>
  <si>
    <t>Josler, William J. (AFRC-221)</t>
  </si>
  <si>
    <t>Y1EZ</t>
  </si>
  <si>
    <t>CONSTRUCTION OF OTHER INDUSTRIAL BUILDINGS</t>
  </si>
  <si>
    <t xml:space="preserve">The Western Regional Multiple Award Construction Contracts (WRMACC) has an anticipated composite value of $300 Million and shall support both Construction and Design/Build Services at Armstrong Flight Research Center (AFRC) and Ames Research Center (ARC) including Federal Tenants at NASA facilities; Jet Propulsion Lab located in Pasadena, CA; Goldstone Deep Space Communications Complex in Fort Irwin, Ca; Santa Susana Field Laboratory in Simi Valley, Ca; and United States Air Force (USAF), Edwards AFB, CA with AFRC Procurement Officer Approval.  NASA anticipates utilizing the WRMACC for the future construction and design build requirements at each of the above locations, utilizing different small business contractors from various categories. All Contractors are HIGHLY ENCOURAGED to respond to this announcement so NASA can properly develop the requirement, evaluate your capabilities, and asses your bonding limitation. Work under this contract is to be performed in the general construction category to include, but not limited to, architectural, mechanical, electrical, plumbing, civil, structural, roofing, building renovations, new building construction, demolition, United States Green Building Council (USGBC) Leadership in Energy and Environmental Design (LEED) projects, and design/build projects. This contracting tool will allow each center the capability to quickly procure general construction services. Armstrong Flight Research Center will administer the basic contracts and each of the above-mentioned centers will issue Task Orders and handle all administration of the Task Orders against any or all categories of the WRMACC contract. 
</t>
  </si>
  <si>
    <t>Range Operations Support Services (ROSS)</t>
  </si>
  <si>
    <t>kimberly.k.melo@nasa.gov</t>
  </si>
  <si>
    <t>Melo, Kimberly (AFRC-600)</t>
  </si>
  <si>
    <t>M1BG</t>
  </si>
  <si>
    <t>OPERATION OF ELECTRONIC AND COMMUNICATIONS FACILITIES</t>
  </si>
  <si>
    <t>Edwards</t>
  </si>
  <si>
    <t>Range Operations Support Services (ROSS) – Dryden Aeronautical Test Range (DATR)
Provide mission-critical range operations support for NASA Armstrong Flight Research Center, including operation, maintenance, and sustainment of systems supporting flight research and human spaceflight mission operations.</t>
  </si>
  <si>
    <t>All contractor positions were converted to civil servarnts.</t>
  </si>
  <si>
    <t>Contractor shall operate, maintain, and sustain DATR mission systems, including fixed range assets and mobile operations facilities (MOFs). Support includes real-time and post-flight mission operations, data acquisition and processing, range communications, flight termination systems, video and tracking systems, configuration management, documentation, preventive/corrective maintenance, and surge support in compliance with NASA standards and AFRC directives.</t>
  </si>
  <si>
    <t>G-IV Inertial Reference System Upgrade</t>
  </si>
  <si>
    <t>franzeska.becker@nasa.gov</t>
  </si>
  <si>
    <t>Becker, Franzeska H. (AFRC-560)</t>
  </si>
  <si>
    <t>J016</t>
  </si>
  <si>
    <t>MAINT/REPAIR/REBUILD OF EQUIPMENT- AIRCRAFT COMPONENTS AND ACCESSORIES</t>
  </si>
  <si>
    <t>Edwards AFB</t>
  </si>
  <si>
    <t xml:space="preserve">The G-IV aircraft at AFRC will require an upgrade to the Intertial Reference System. The current system is no longer supported by the Original Equipment Manufacturer (OEM) or any third party manufacturers. </t>
  </si>
  <si>
    <t xml:space="preserve">The G-IV aircraft uses an Intertial Reference System from Honeywell called LASEREF II. This system is no longer supported by the OEM or any other vendors. The OEM can provide an adapter kit to upgrade from the LASEREF II to LASEREF IV. OEM has stated that no other iterations of the LASEREF are currently compatable with the G-IV aircraft. This acquisition is for the required units (3 in total), adapter kit, and the installation work to be performed by an approved avionics shop. </t>
  </si>
  <si>
    <t>Reroofing Revitalization effort</t>
  </si>
  <si>
    <t>bill.werner-1@nasa.gov</t>
  </si>
  <si>
    <t>Werner, William R. (AFRC-221)</t>
  </si>
  <si>
    <t xml:space="preserve">A full-scale reroofing revitalization effort across multiple facilities. Some roofs are located at significant heights, requiring specialized crane operations and rigging expertise to safely transport and position materials on elevated roof structures. This project will be executed as a design-build effort, requiring a comprehensive design and planning phase prior to construction. </t>
  </si>
  <si>
    <t xml:space="preserve">Execute a full-scale reroofing revitalization effort that includes complete roof system replacements; repair, renovation, and upgrade of roofing components; across multiple facilities; installation and upgrading of guardrails and fall-protection systems; improvements to roof access and safety features; and the removal and replacement of existing storm drainage systems. Roofing systems may include standing seam metal roofs and/or weldable thermoplastic membranes, requiring contractors to demonstrate experience with these materials and associated installation techniques. </t>
  </si>
  <si>
    <t>Parabolic Flight Services</t>
  </si>
  <si>
    <t>wanessa.c.priesmeyer@nasa.gov</t>
  </si>
  <si>
    <t>Newell, Melissa (JSC-210)</t>
  </si>
  <si>
    <t>481219</t>
  </si>
  <si>
    <t>V121</t>
  </si>
  <si>
    <t>TRANSPORTATION/TRAVEL/RELOCATION- TRANSPORTATION: AIR CHARTER</t>
  </si>
  <si>
    <t xml:space="preserve">Other Nonscheduled Air Transportation </t>
  </si>
  <si>
    <t>Deliver reduced gravity environments, including microgravity, through parabolic flight that meet NASA's technical and operational requirements, enabling the testing of new technologies and conducting of research experiments.</t>
  </si>
  <si>
    <t xml:space="preserve">Commercial flight providers that have space for a varieaty of Program sponsored payloads on various platforms that provide reduced gravity via multiple parabolic fllights required to test technology in order to advance its readiness.  The contradctor shall provide comprehensive flight and payload integration services. Provider will operate as a "civil aircraft" and bears full responsibiliy for airworthiness, flight safety, and mission assurance.  Services will not require Public Use Aircraft Operation (PAO-ref. AC 00-1.1B) with commensurate NASA airworthiness approvals. </t>
  </si>
  <si>
    <t xml:space="preserve">Engineering and Technical Support Services for Flight Research and Development (ETSS)
</t>
  </si>
  <si>
    <t>randolph.c.thompson@nasa.gov</t>
  </si>
  <si>
    <t>Cole, Jennifer (AFRC-500)</t>
  </si>
  <si>
    <t>AS21</t>
  </si>
  <si>
    <t>TRANSPORTATION R&amp;D SERVICES; AEROSPACE RESEARCH; BASIC RESEARCH</t>
  </si>
  <si>
    <t>Provide support for flight research projects, internal research and development, and various technical support functions. The Contractor shall provide all personnel, services, and other items necessary to perform the requirements in the areas of research disciplinary engineering, other disciplinary engineering, and technical functional support.</t>
  </si>
  <si>
    <t>Engineering Support is needed in Research, Flight Operations, Aerodynamics, Propulsion, Dynamics and Controls , Advanced Systems Development, Flight Instrumentation, Systems Integration, Aerostructures Research, Range and Subscale Flight Research.  Support is also provided for Safety and Mission Assurance.</t>
  </si>
  <si>
    <t xml:space="preserve">Facilities Operations and Maintenance Services (FOMS) </t>
  </si>
  <si>
    <t>brandon.werner-1@nasa.gov</t>
  </si>
  <si>
    <t>Werner, Brandon J. (AFRC-221)</t>
  </si>
  <si>
    <t>S216</t>
  </si>
  <si>
    <t>HOUSEKEEPING- FACILITIES OPERATIONS SUPPORT</t>
  </si>
  <si>
    <t>Provide all facility operations, maintenance, repair, janitorial services, grounds-keeping services, and other directly related miscellaneous services for all
infrastructure/facilities (buildings, utilities, structures, and related systems) and assets (equipment and utility infrastructure) at the National Aeronautics and Space Administration's (NASA) Armstrong Flight Research Center (AFRC).</t>
  </si>
  <si>
    <t>Manage the operations, maintenance, and repair of facilities, utilities, and grounds as assigned by NASA AFRC. The Contractor shall be responsive, maintain a high level of quality, attend meetings, and shall work within Federal, State, and NASA safety and environmental practices and procedures. The Contractor will have a training and certification process that assures all Contractor personnel are properly trained, qualified, licensed and certified for the work to be performed. The contractor shall deliver a Monthly Building Operation, Maintenance, and Repair Cost Profile Report to the COR.</t>
  </si>
  <si>
    <t>GoSwift research pod and ground handling cart</t>
  </si>
  <si>
    <t>renee.horton@nasa.gov</t>
  </si>
  <si>
    <t>488190</t>
  </si>
  <si>
    <t>Other Support Activities for Air Transportation</t>
  </si>
  <si>
    <t>All required work to structurally manufacture a research pod, the ground handling cart to hold and install the pod and provide the documentation.</t>
  </si>
  <si>
    <t>This will be a sole source award.</t>
  </si>
  <si>
    <t>All required work to structurally manufacture a research pod, the ground handling cart to hold and install the pod and provide the documentation verifying it's structural integrity.  Ground handling cart will be designed by contractor, pod will manufactured to NASA design.</t>
  </si>
  <si>
    <t>Gulfstream V Avionics Upgrade</t>
  </si>
  <si>
    <t>paul.a.martinez@nasa.gov</t>
  </si>
  <si>
    <t>K016</t>
  </si>
  <si>
    <t>MODIFICATION OF EQUIPMENT- AIRCRAFT COMPONENTS AND ACCESSORIES</t>
  </si>
  <si>
    <t>Gulfstream V Avionics Upgrade – display and inertial navigation unit (INU). To include DU-885 PlaneDeck installation and Triple Honeywell Laseref IV Upgrade.</t>
  </si>
  <si>
    <t>ER-2 battery cells and electrolyte (KOH) solution bottles to continue operational capability.</t>
  </si>
  <si>
    <t>john.t.mcgrath@nasa.gov</t>
  </si>
  <si>
    <t>335910</t>
  </si>
  <si>
    <t>6135</t>
  </si>
  <si>
    <t>BATTERIES, NONRECHARGEABLE</t>
  </si>
  <si>
    <t xml:space="preserve">Battery Manufacturing </t>
  </si>
  <si>
    <t>ER-2 Battery Cells and Electrode Solution</t>
  </si>
  <si>
    <t>ER-2 battery cells and electrolyte (KOH) solution bottles to continue operational capability. Stock is required to mitigate inventory depletions, lead times, and cell failure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</si>
</sst>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3" fontId="0" fillId="0" borderId="0" xfId="0" applyNumberFormat="1"/>
    <xf numFmtId="0" fontId="0" fillId="0" borderId="0" xfId="0" applyAlignment="1">
      <alignment wrapText="1"/>
    </xf>
  </cellXfs>
  <cellStyles count="1">
    <cellStyle name="Normal" xfId="0" builtinId="0"/>
  </cellStyles>
  <dxfs count="46">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0" formatCode="@"/>
    </dxf>
    <dxf>
      <numFmt numFmtId="30" formatCode="@"/>
    </dxf>
    <dxf>
      <numFmt numFmtId="30" formatCode="@"/>
    </dxf>
    <dxf>
      <alignment horizontal="general" vertical="bottom" textRotation="0" wrapText="1" indent="0" justifyLastLine="0" shrinkToFit="0" readingOrder="0"/>
    </dxf>
    <dxf>
      <numFmt numFmtId="30" formatCode="@"/>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dxf>
    <dxf>
      <numFmt numFmtId="0" formatCode="General"/>
    </dxf>
    <dxf>
      <numFmt numFmtId="30" formatCode="@"/>
    </dxf>
    <dxf>
      <numFmt numFmtId="30" formatCode="@"/>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 formatCode="#,##0"/>
    </dxf>
    <dxf>
      <numFmt numFmtId="30" formatCode="@"/>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backgroundRefresh="0" connectionId="1" xr16:uid="{6F545CD7-F9B4-41B4-81D1-D9DEDD485B7A}" autoFormatId="16" applyNumberFormats="0" applyBorderFormats="0" applyFontFormats="0" applyPatternFormats="0" applyAlignmentFormats="0" applyWidthHeightFormats="0">
  <queryTableRefresh nextId="47">
    <queryTableFields count="46">
      <queryTableField id="5" name="BuyingOffice" tableColumnId="1"/>
      <queryTableField id="28" name="BuyingOfficeCode" tableColumnId="2"/>
      <queryTableField id="21" name="Review Status" tableColumnId="3"/>
      <queryTableField id="1" name="AcquisitionStatus" tableColumnId="4"/>
      <queryTableField id="32" name="AwardedOrWithdrawn" tableColumnId="5"/>
      <queryTableField id="4" name="AcquisitionPhase" tableColumnId="6"/>
      <queryTableField id="27" name="SourceID" tableColumnId="7"/>
      <queryTableField id="26" name="TitleOfRequirement" tableColumnId="8"/>
      <queryTableField id="25" name="TechnicalPOC" tableColumnId="9"/>
      <queryTableField id="43" name="Tech POC Name" tableColumnId="10"/>
      <queryTableField id="16" name="PlaceOfPerformanceState" tableColumnId="11"/>
      <queryTableField id="17" name="PlaceOfPerformanceCountry" tableColumnId="12"/>
      <queryTableField id="12" name="NAICS" tableColumnId="13"/>
      <queryTableField id="19" name="PSC Code" tableColumnId="14"/>
      <queryTableField id="20" name="PSC Code Description" tableColumnId="15"/>
      <queryTableField id="11" name="HQMissionDirectorate" tableColumnId="16"/>
      <queryTableField id="13" name="NAICS Description" tableColumnId="17"/>
      <queryTableField id="9" name="FundingSource" tableColumnId="18"/>
      <queryTableField id="24" name="SmallBusinessSpecialistPOC" tableColumnId="19"/>
      <queryTableField id="44" name="SmallBusinessSpecialistEmail" tableColumnId="20"/>
      <queryTableField id="2" name="AnticipatedFYAward" tableColumnId="21"/>
      <queryTableField id="3" name="Anticipated Qtr of Award" tableColumnId="22"/>
      <queryTableField id="14" name="NewOrRecompete" tableColumnId="23"/>
      <queryTableField id="8" name="EstimatedContractValue" tableColumnId="24"/>
      <queryTableField id="15" name="PlaceOfPerformanceCity" tableColumnId="25"/>
      <queryTableField id="23" name="SetAsideType" tableColumnId="26"/>
      <queryTableField id="6" name="ContractType" tableColumnId="27"/>
      <queryTableField id="18" name="ProductServiceLine" tableColumnId="28"/>
      <queryTableField id="10" name="FY-QTR_POPStart" tableColumnId="29"/>
      <queryTableField id="22" name="Summary" tableColumnId="30"/>
      <queryTableField id="29" name="Est Value Base" tableColumnId="31"/>
      <queryTableField id="30" name="Est Value Option(s)" tableColumnId="32"/>
      <queryTableField id="31" name="GrantOrCooperativeAgreement" tableColumnId="33"/>
      <queryTableField id="33" name="ReasonForWithdraw" tableColumnId="34"/>
      <queryTableField id="34" name="QtrSolOrNOFORelease" tableColumnId="35"/>
      <queryTableField id="35" name="FYofSolOrNOFORelease" tableColumnId="36"/>
      <queryTableField id="36" name="PeriodOfPerformance" tableColumnId="37"/>
      <queryTableField id="37" name="Type of Award/Contract Vehicle" tableColumnId="38"/>
      <queryTableField id="38" name="TypeOfRequirement" tableColumnId="39"/>
      <queryTableField id="39" name="ExtentCompeted" tableColumnId="40"/>
      <queryTableField id="40" name="Options?" tableColumnId="41"/>
      <queryTableField id="41" name="EstBasePOP" tableColumnId="42"/>
      <queryTableField id="42" name="EstOptionsPOP" tableColumnId="43"/>
      <queryTableField id="7" name="Description" tableColumnId="44"/>
      <queryTableField id="46" name="Item Type" tableColumnId="45"/>
      <queryTableField id="45" name="Path" tableColumnId="4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17584D-A6C8-456F-A97D-EC2A887EE0C6}" name="Table_query" displayName="Table_query" ref="A1:AT137" tableType="queryTable" totalsRowShown="0">
  <autoFilter ref="A1:AT137" xr:uid="{01CFB20E-5C39-4F4F-9FC5-26FD2F224B34}"/>
  <sortState xmlns:xlrd2="http://schemas.microsoft.com/office/spreadsheetml/2017/richdata2" ref="A2:AT137">
    <sortCondition ref="S1:S137"/>
  </sortState>
  <tableColumns count="46">
    <tableColumn id="1" xr3:uid="{76EB1918-FF89-47B7-BFE1-423E8497795A}" uniqueName="BuyingOffice" name="BuyingOffice" queryTableFieldId="5" dataDxfId="45"/>
    <tableColumn id="2" xr3:uid="{BFDE1DEB-A9F5-472A-B43E-C87ACF5572C4}" uniqueName="BuyingOfficeCode" name="BuyingOfficeCode" queryTableFieldId="28" dataDxfId="44"/>
    <tableColumn id="3" xr3:uid="{34BA27E9-53EC-485A-930A-ECFAAAAC906D}" uniqueName="Review_x005f_x0020_Status" name="Review Status" queryTableFieldId="21" dataDxfId="43"/>
    <tableColumn id="4" xr3:uid="{B37A1224-DFA5-4378-A196-85DA63354463}" uniqueName="AcquisitionStatus" name="AcquisitionStatus" queryTableFieldId="1" dataDxfId="42"/>
    <tableColumn id="5" xr3:uid="{7B8D51B7-C298-4529-A78F-30B26CFE2DA1}" uniqueName="Awarded_x005f_x002f_Withdrawn" name="AwardedOrWithdrawn" queryTableFieldId="32" dataDxfId="41"/>
    <tableColumn id="6" xr3:uid="{D80D0929-8389-42E3-9784-3202E98350D4}" uniqueName="AcquisitionPhase" name="AcquisitionPhase" queryTableFieldId="4" dataDxfId="40"/>
    <tableColumn id="7" xr3:uid="{26A539C6-18F6-4428-8DF9-E44503F1BD13}" uniqueName="SourceID" name="SourceID" queryTableFieldId="27" dataDxfId="39"/>
    <tableColumn id="8" xr3:uid="{4C023B7D-1AFA-487C-AC1F-838AE243FD72}" uniqueName="Title" name="TitleOfRequirement" queryTableFieldId="26" dataDxfId="38"/>
    <tableColumn id="9" xr3:uid="{71A206C6-2540-443C-B9B6-9331ED569CAE}" uniqueName="TechnicalPOC" name="TechnicalPOC" queryTableFieldId="25" dataDxfId="37"/>
    <tableColumn id="10" xr3:uid="{D7755E1A-3985-48FE-A5B0-34DC057941B8}" uniqueName="TechPOCName" name="Tech POC Name" queryTableFieldId="43" dataDxfId="36"/>
    <tableColumn id="11" xr3:uid="{99F9851C-0C6F-426B-8AC2-0F49F1161DC9}" uniqueName="PlaceOfPerformanceState" name="PlaceOfPerformanceState" queryTableFieldId="16" dataDxfId="35"/>
    <tableColumn id="12" xr3:uid="{BA5B0CEF-BA96-4817-8ADF-4AF6D3D4A504}" uniqueName="PlaceOfPerformanceCountry" name="PlaceOfPerformanceCountry" queryTableFieldId="17" dataDxfId="34"/>
    <tableColumn id="13" xr3:uid="{A860DC5E-824D-4881-9293-B256276437F1}" uniqueName="NAICS" name="NAICS" queryTableFieldId="12" dataDxfId="33"/>
    <tableColumn id="14" xr3:uid="{CE9BBA8D-DC1E-4F3A-9F9B-FCB618EB64EB}" uniqueName="PSCCode" name="PSC Code" queryTableFieldId="19" dataDxfId="32"/>
    <tableColumn id="15" xr3:uid="{4AB32AFB-67F1-4292-AFA9-23E064481DB7}" uniqueName="PSCCodeDescription" name="PSC Code Description" queryTableFieldId="20" dataDxfId="31"/>
    <tableColumn id="16" xr3:uid="{12402778-C903-420D-B91A-8A51E64444FB}" uniqueName="HQMissionDirectorate" name="HQMissionDirectorate" queryTableFieldId="11" dataDxfId="30"/>
    <tableColumn id="17" xr3:uid="{D870E300-23B5-42E0-8B4F-7401FB2D677A}" uniqueName="NAICSDescription" name="NAICS Description" queryTableFieldId="13" dataDxfId="29"/>
    <tableColumn id="18" xr3:uid="{2C9E86B1-4C03-4E97-A7D3-69D19CD2456E}" uniqueName="FundingSource" name="FundingSource" queryTableFieldId="9" dataDxfId="28"/>
    <tableColumn id="19" xr3:uid="{B4437045-BCFA-4A01-924D-8F3DA8966097}" uniqueName="SmallBusinessSpecialistPOC" name="SmallBusinessSpecialistPOC" queryTableFieldId="24" dataDxfId="27"/>
    <tableColumn id="20" xr3:uid="{63487CE0-61B1-4EAE-B1C9-4BAB8019E90B}" uniqueName="SmallBusinessSpecialistEmail" name="SmallBusinessSpecialistEmail" queryTableFieldId="44" dataDxfId="26"/>
    <tableColumn id="21" xr3:uid="{CAE1433C-32F2-46EA-869C-0E73FB7345DA}" uniqueName="AnticipatedFYAward" name="AnticipatedFYAward" queryTableFieldId="2" dataDxfId="25"/>
    <tableColumn id="22" xr3:uid="{27B10A70-3250-478C-B704-AD5208F8435E}" uniqueName="Anticipated_x005f_x0020_Qtr_x005f_x0020_of_x" name="Anticipated Qtr of Award" queryTableFieldId="3" dataDxfId="24"/>
    <tableColumn id="23" xr3:uid="{C9059E92-06AB-4637-9CED-00E21593E1A3}" uniqueName="NewOrRecompete" name="NewOrRecompete" queryTableFieldId="14" dataDxfId="23"/>
    <tableColumn id="24" xr3:uid="{C9D5327D-18A8-46C0-BFFA-D4AC1A3C8D1E}" uniqueName="EstimatedContractValue" name="EstimatedContractValue" queryTableFieldId="8" dataDxfId="22"/>
    <tableColumn id="25" xr3:uid="{9CD16FE5-2F8E-416C-927D-C937190E520D}" uniqueName="PlaceOfPerformanceCity" name="PlaceOfPerformanceCity" queryTableFieldId="15" dataDxfId="21"/>
    <tableColumn id="26" xr3:uid="{F3E3B5AA-6D3D-486A-8B6F-9EB3C07A67CB}" uniqueName="SetAsideType" name="SetAsideType" queryTableFieldId="23" dataDxfId="20"/>
    <tableColumn id="27" xr3:uid="{C630C2F9-574A-453D-83E6-9B80480F46C8}" uniqueName="ContractType" name="ContractType" queryTableFieldId="6" dataDxfId="19"/>
    <tableColumn id="28" xr3:uid="{B050398C-D5EE-4949-B41F-7FAA98AF7F4A}" uniqueName="ProductServiceLine" name="ProductServiceLine" queryTableFieldId="18" dataDxfId="18"/>
    <tableColumn id="29" xr3:uid="{E0C32B64-278F-44C6-9513-8C8B9BB1DDBF}" uniqueName="FY_x005f_x002d_QTR_POPStart" name="FY-QTR_POPStart" queryTableFieldId="10" dataDxfId="17"/>
    <tableColumn id="30" xr3:uid="{803C24C2-3DC2-4646-BA37-B08B9A8126DD}" uniqueName="Summary" name="Summary" queryTableFieldId="22" dataDxfId="16"/>
    <tableColumn id="31" xr3:uid="{34820EAC-A1D7-4E83-8268-1AC0736C55CB}" uniqueName="Est_x005f_x002e__x005f_x0020_Value_x005f_x0020_Bas" name="Est Value Base" queryTableFieldId="29" dataDxfId="15"/>
    <tableColumn id="32" xr3:uid="{F30FED82-B450-41D2-84BE-2F71A56A048D}" uniqueName="Est_x005f_x002e__x005f_x0020_Value_x005f_x0020_Opt" name="Est Value Option(s)" queryTableFieldId="30" dataDxfId="14"/>
    <tableColumn id="33" xr3:uid="{685A4F62-0913-4626-B798-944B68C3ADBB}" uniqueName="Grant_x005f_x002f_CooperativeAgreement" name="GrantOrCooperativeAgreement" queryTableFieldId="31" dataDxfId="13"/>
    <tableColumn id="34" xr3:uid="{8F5DE55B-1DFA-40D9-94DE-3408B7F14933}" uniqueName="ReasonForWithdraw" name="ReasonForWithdraw" queryTableFieldId="33" dataDxfId="12"/>
    <tableColumn id="35" xr3:uid="{BA8C6DA1-1C06-409B-8083-9439B91DC91E}" uniqueName="QtrSolOrNOFORelease" name="QtrSolOrNOFORelease" queryTableFieldId="34" dataDxfId="11"/>
    <tableColumn id="36" xr3:uid="{B79AEE64-CE88-4062-A207-B377CDAA6C97}" uniqueName="FYofSolOrNOFORelease" name="FYofSolOrNOFORelease" queryTableFieldId="35" dataDxfId="10"/>
    <tableColumn id="37" xr3:uid="{40A6C27D-592C-424C-9963-5422579CC4CF}" uniqueName="PeriodOfPerformance" name="PeriodOfPerformance" queryTableFieldId="36" dataDxfId="9"/>
    <tableColumn id="38" xr3:uid="{70BDC9AF-A255-4F74-8272-6BB15EAD8522}" uniqueName="Type_x005f_x0020_of_x005f_x0020_Award_x005f_x002f_" name="Type of Award/Contract Vehicle" queryTableFieldId="37" dataDxfId="8"/>
    <tableColumn id="39" xr3:uid="{00CE239E-87A3-4C24-A7B6-0546D8058D86}" uniqueName="TypeOfRequirement" name="TypeOfRequirement" queryTableFieldId="38" dataDxfId="7"/>
    <tableColumn id="40" xr3:uid="{79D19A37-C6B9-46E6-A022-A1983BD71746}" uniqueName="ExtentCompeted" name="ExtentCompeted" queryTableFieldId="39" dataDxfId="6"/>
    <tableColumn id="41" xr3:uid="{62737931-E729-4C0F-85D0-4445ABA1259C}" uniqueName="Options_x005f_x003f_" name="Options?" queryTableFieldId="40" dataDxfId="5"/>
    <tableColumn id="42" xr3:uid="{7EFC0ED4-315D-4A56-A20A-73943CD683D3}" uniqueName="EstBasePOP" name="EstBasePOP" queryTableFieldId="41" dataDxfId="4"/>
    <tableColumn id="43" xr3:uid="{8BCB27DB-BC1F-48F1-B70F-AF3CCD15C782}" uniqueName="EstOptionsPOP" name="EstOptionsPOP" queryTableFieldId="42" dataDxfId="3"/>
    <tableColumn id="44" xr3:uid="{56FFA34E-AF2D-4859-9FDA-0230F47000DE}" uniqueName="Description" name="Description" queryTableFieldId="7" dataDxfId="2"/>
    <tableColumn id="45" xr3:uid="{E12193C3-167A-483B-83A6-BBB78BDB2447}" uniqueName="FSObjType" name="Item Type" queryTableFieldId="46" dataDxfId="1"/>
    <tableColumn id="46" xr3:uid="{13440DD3-B5F8-4717-97A2-E827F206AA11}" uniqueName="FileDirRef" name="Path" queryTableFieldId="4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C2A46-C56A-4731-827C-E6F778CCA211}">
  <dimension ref="A1:AT137"/>
  <sheetViews>
    <sheetView tabSelected="1" topLeftCell="Q76" workbookViewId="0">
      <selection activeCell="M11" sqref="M11"/>
    </sheetView>
  </sheetViews>
  <sheetFormatPr defaultRowHeight="19.899999999999999" customHeight="1" x14ac:dyDescent="0.25"/>
  <cols>
    <col min="1" max="1" width="14.42578125" bestFit="1" customWidth="1"/>
    <col min="2" max="2" width="19.42578125" bestFit="1" customWidth="1"/>
    <col min="3" max="3" width="15.7109375" bestFit="1" customWidth="1"/>
    <col min="4" max="4" width="18.7109375" bestFit="1" customWidth="1"/>
    <col min="5" max="5" width="22.42578125" bestFit="1" customWidth="1"/>
    <col min="6" max="6" width="19" bestFit="1" customWidth="1"/>
    <col min="7" max="7" width="11.28515625" bestFit="1" customWidth="1"/>
    <col min="8" max="8" width="80.85546875" bestFit="1" customWidth="1"/>
    <col min="9" max="9" width="34.28515625" bestFit="1" customWidth="1"/>
    <col min="10" max="10" width="34.85546875" bestFit="1" customWidth="1"/>
    <col min="11" max="11" width="26.28515625" bestFit="1" customWidth="1"/>
    <col min="12" max="12" width="28.85546875" bestFit="1" customWidth="1"/>
    <col min="13" max="13" width="8.7109375" bestFit="1" customWidth="1"/>
    <col min="14" max="14" width="11.85546875" bestFit="1" customWidth="1"/>
    <col min="15" max="17" width="80.85546875" bestFit="1" customWidth="1"/>
    <col min="18" max="18" width="19.140625" bestFit="1" customWidth="1"/>
    <col min="19" max="19" width="30.5703125" bestFit="1" customWidth="1"/>
    <col min="20" max="20" width="43.140625" customWidth="1"/>
    <col min="21" max="21" width="20.7109375" bestFit="1" customWidth="1"/>
    <col min="22" max="22" width="24.7109375" bestFit="1" customWidth="1"/>
    <col min="23" max="23" width="19.5703125" bestFit="1" customWidth="1"/>
    <col min="24" max="24" width="25" bestFit="1" customWidth="1"/>
    <col min="25" max="25" width="49.140625" bestFit="1" customWidth="1"/>
    <col min="26" max="26" width="51.7109375" bestFit="1" customWidth="1"/>
    <col min="27" max="27" width="80.85546875" bestFit="1" customWidth="1"/>
    <col min="28" max="28" width="25.7109375" bestFit="1" customWidth="1"/>
    <col min="29" max="29" width="18.28515625" bestFit="1" customWidth="1"/>
    <col min="30" max="30" width="80.85546875" bestFit="1" customWidth="1"/>
    <col min="31" max="31" width="16" bestFit="1" customWidth="1"/>
    <col min="32" max="32" width="20.28515625" bestFit="1" customWidth="1"/>
    <col min="33" max="33" width="31.28515625" bestFit="1" customWidth="1"/>
    <col min="34" max="34" width="80.85546875" bestFit="1" customWidth="1"/>
    <col min="35" max="35" width="23.42578125" bestFit="1" customWidth="1"/>
    <col min="36" max="36" width="24.5703125" bestFit="1" customWidth="1"/>
    <col min="37" max="37" width="22.42578125" bestFit="1" customWidth="1"/>
    <col min="38" max="38" width="80.85546875" bestFit="1" customWidth="1"/>
    <col min="39" max="39" width="23.85546875" bestFit="1" customWidth="1"/>
    <col min="40" max="40" width="47.28515625" bestFit="1" customWidth="1"/>
    <col min="41" max="41" width="15.7109375" bestFit="1" customWidth="1"/>
    <col min="42" max="42" width="16.140625" bestFit="1" customWidth="1"/>
    <col min="43" max="43" width="16.7109375" bestFit="1" customWidth="1"/>
    <col min="44" max="44" width="80.85546875" bestFit="1" customWidth="1"/>
    <col min="45" max="45" width="11.7109375" bestFit="1" customWidth="1"/>
    <col min="46" max="46" width="42.28515625" bestFit="1" customWidth="1"/>
  </cols>
  <sheetData>
    <row r="1" spans="1:46" ht="19.899999999999999"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ht="19.899999999999999" customHeight="1" x14ac:dyDescent="0.25">
      <c r="A2" s="1" t="s">
        <v>46</v>
      </c>
      <c r="B2" s="1" t="s">
        <v>47</v>
      </c>
      <c r="C2" s="1" t="s">
        <v>48</v>
      </c>
      <c r="D2" s="1" t="s">
        <v>49</v>
      </c>
      <c r="E2" s="1" t="s">
        <v>49</v>
      </c>
      <c r="F2" s="1" t="s">
        <v>50</v>
      </c>
      <c r="G2" s="2">
        <v>929</v>
      </c>
      <c r="H2" s="1" t="s">
        <v>51</v>
      </c>
      <c r="I2" s="1" t="s">
        <v>52</v>
      </c>
      <c r="J2" s="1" t="s">
        <v>53</v>
      </c>
      <c r="K2" s="1" t="s">
        <v>54</v>
      </c>
      <c r="L2" s="1" t="s">
        <v>55</v>
      </c>
      <c r="M2" s="1" t="s">
        <v>56</v>
      </c>
      <c r="N2" s="1" t="s">
        <v>57</v>
      </c>
      <c r="O2" s="1" t="s">
        <v>58</v>
      </c>
      <c r="P2" s="1" t="s">
        <v>59</v>
      </c>
      <c r="Q2" s="1" t="s">
        <v>60</v>
      </c>
      <c r="R2" s="1" t="s">
        <v>61</v>
      </c>
      <c r="S2" s="1" t="s">
        <v>62</v>
      </c>
      <c r="T2" t="s">
        <v>63</v>
      </c>
      <c r="U2" s="1" t="s">
        <v>64</v>
      </c>
      <c r="V2" s="1" t="s">
        <v>65</v>
      </c>
      <c r="W2" s="1" t="s">
        <v>66</v>
      </c>
      <c r="X2" s="1" t="s">
        <v>67</v>
      </c>
      <c r="Y2" s="1" t="s">
        <v>68</v>
      </c>
      <c r="Z2" s="1" t="s">
        <v>69</v>
      </c>
      <c r="AA2" s="1" t="s">
        <v>70</v>
      </c>
      <c r="AB2" s="1" t="s">
        <v>71</v>
      </c>
      <c r="AC2" s="1" t="s">
        <v>72</v>
      </c>
      <c r="AD2" s="3"/>
      <c r="AE2" s="1" t="s">
        <v>73</v>
      </c>
      <c r="AF2" s="1" t="s">
        <v>73</v>
      </c>
      <c r="AG2" s="1" t="s">
        <v>74</v>
      </c>
      <c r="AH2" s="1"/>
      <c r="AI2" s="1" t="s">
        <v>65</v>
      </c>
      <c r="AJ2" s="1" t="s">
        <v>75</v>
      </c>
      <c r="AK2" s="1" t="s">
        <v>76</v>
      </c>
      <c r="AL2" s="1" t="s">
        <v>68</v>
      </c>
      <c r="AM2" s="1" t="s">
        <v>77</v>
      </c>
      <c r="AN2" s="1" t="s">
        <v>78</v>
      </c>
      <c r="AO2" s="1" t="s">
        <v>79</v>
      </c>
      <c r="AP2" s="1" t="s">
        <v>80</v>
      </c>
      <c r="AQ2" s="1" t="s">
        <v>81</v>
      </c>
      <c r="AR2" s="3" t="s">
        <v>82</v>
      </c>
      <c r="AS2" s="1" t="s">
        <v>83</v>
      </c>
      <c r="AT2" s="1" t="s">
        <v>84</v>
      </c>
    </row>
    <row r="3" spans="1:46" ht="19.899999999999999" customHeight="1" x14ac:dyDescent="0.25">
      <c r="A3" s="1" t="s">
        <v>46</v>
      </c>
      <c r="B3" s="1" t="s">
        <v>85</v>
      </c>
      <c r="C3" s="1" t="s">
        <v>48</v>
      </c>
      <c r="D3" s="1" t="s">
        <v>86</v>
      </c>
      <c r="E3" s="1" t="s">
        <v>87</v>
      </c>
      <c r="F3" s="1" t="s">
        <v>50</v>
      </c>
      <c r="G3" s="2">
        <v>930</v>
      </c>
      <c r="H3" s="1" t="s">
        <v>88</v>
      </c>
      <c r="I3" s="1" t="s">
        <v>89</v>
      </c>
      <c r="J3" s="1" t="s">
        <v>90</v>
      </c>
      <c r="K3" s="1" t="s">
        <v>54</v>
      </c>
      <c r="L3" s="1" t="s">
        <v>55</v>
      </c>
      <c r="M3" s="1" t="s">
        <v>56</v>
      </c>
      <c r="N3" s="1" t="s">
        <v>91</v>
      </c>
      <c r="O3" s="1" t="s">
        <v>92</v>
      </c>
      <c r="P3" s="1" t="s">
        <v>93</v>
      </c>
      <c r="Q3" s="1" t="s">
        <v>60</v>
      </c>
      <c r="R3" s="1" t="s">
        <v>61</v>
      </c>
      <c r="S3" s="1" t="s">
        <v>62</v>
      </c>
      <c r="T3" t="s">
        <v>63</v>
      </c>
      <c r="U3" s="1" t="s">
        <v>94</v>
      </c>
      <c r="V3" s="1" t="s">
        <v>95</v>
      </c>
      <c r="W3" s="1" t="s">
        <v>66</v>
      </c>
      <c r="X3" s="1" t="s">
        <v>96</v>
      </c>
      <c r="Y3" s="1" t="s">
        <v>97</v>
      </c>
      <c r="Z3" s="1" t="s">
        <v>98</v>
      </c>
      <c r="AA3" s="1" t="s">
        <v>99</v>
      </c>
      <c r="AB3" s="1" t="s">
        <v>100</v>
      </c>
      <c r="AC3" s="1" t="s">
        <v>101</v>
      </c>
      <c r="AD3" s="3" t="s">
        <v>102</v>
      </c>
      <c r="AE3" s="1" t="s">
        <v>96</v>
      </c>
      <c r="AF3" s="1" t="s">
        <v>96</v>
      </c>
      <c r="AG3" s="1" t="s">
        <v>74</v>
      </c>
      <c r="AH3" s="1"/>
      <c r="AI3" s="1" t="s">
        <v>95</v>
      </c>
      <c r="AJ3" s="1" t="s">
        <v>64</v>
      </c>
      <c r="AK3" s="1" t="s">
        <v>103</v>
      </c>
      <c r="AL3" s="1" t="s">
        <v>104</v>
      </c>
      <c r="AM3" s="1" t="s">
        <v>77</v>
      </c>
      <c r="AN3" s="1" t="s">
        <v>105</v>
      </c>
      <c r="AO3" s="1" t="s">
        <v>79</v>
      </c>
      <c r="AP3" s="1" t="s">
        <v>76</v>
      </c>
      <c r="AQ3" s="1" t="s">
        <v>81</v>
      </c>
      <c r="AR3" s="3" t="s">
        <v>106</v>
      </c>
      <c r="AS3" s="1" t="s">
        <v>83</v>
      </c>
      <c r="AT3" s="1" t="s">
        <v>84</v>
      </c>
    </row>
    <row r="4" spans="1:46" ht="19.899999999999999" customHeight="1" x14ac:dyDescent="0.25">
      <c r="A4" s="1" t="s">
        <v>46</v>
      </c>
      <c r="B4" s="1" t="s">
        <v>107</v>
      </c>
      <c r="C4" s="1" t="s">
        <v>48</v>
      </c>
      <c r="D4" s="1" t="s">
        <v>86</v>
      </c>
      <c r="E4" s="1" t="s">
        <v>87</v>
      </c>
      <c r="F4" s="1" t="s">
        <v>108</v>
      </c>
      <c r="G4" s="2">
        <v>10041</v>
      </c>
      <c r="H4" s="1" t="s">
        <v>109</v>
      </c>
      <c r="I4" s="1" t="s">
        <v>110</v>
      </c>
      <c r="J4" s="1" t="s">
        <v>111</v>
      </c>
      <c r="K4" s="1" t="s">
        <v>54</v>
      </c>
      <c r="L4" s="1" t="s">
        <v>55</v>
      </c>
      <c r="M4" s="1" t="s">
        <v>56</v>
      </c>
      <c r="N4" s="1" t="s">
        <v>91</v>
      </c>
      <c r="O4" s="1" t="s">
        <v>92</v>
      </c>
      <c r="P4" s="1" t="s">
        <v>112</v>
      </c>
      <c r="Q4" s="1" t="s">
        <v>60</v>
      </c>
      <c r="R4" s="1" t="s">
        <v>61</v>
      </c>
      <c r="S4" s="1" t="s">
        <v>62</v>
      </c>
      <c r="T4" t="s">
        <v>63</v>
      </c>
      <c r="U4" s="1" t="s">
        <v>113</v>
      </c>
      <c r="V4" s="1" t="s">
        <v>114</v>
      </c>
      <c r="W4" s="1" t="s">
        <v>66</v>
      </c>
      <c r="X4" s="1" t="s">
        <v>67</v>
      </c>
      <c r="Y4" s="1" t="s">
        <v>97</v>
      </c>
      <c r="Z4" s="1" t="s">
        <v>115</v>
      </c>
      <c r="AA4" s="1" t="s">
        <v>115</v>
      </c>
      <c r="AB4" s="1" t="s">
        <v>87</v>
      </c>
      <c r="AC4" s="1" t="s">
        <v>116</v>
      </c>
      <c r="AD4" s="3" t="s">
        <v>117</v>
      </c>
      <c r="AE4" s="1" t="s">
        <v>118</v>
      </c>
      <c r="AF4" s="1" t="s">
        <v>73</v>
      </c>
      <c r="AG4" s="1" t="s">
        <v>74</v>
      </c>
      <c r="AH4" s="1"/>
      <c r="AI4" s="1" t="s">
        <v>114</v>
      </c>
      <c r="AJ4" s="1" t="s">
        <v>119</v>
      </c>
      <c r="AK4" s="1" t="s">
        <v>76</v>
      </c>
      <c r="AL4" s="1" t="s">
        <v>68</v>
      </c>
      <c r="AM4" s="1" t="s">
        <v>77</v>
      </c>
      <c r="AN4" s="1" t="s">
        <v>115</v>
      </c>
      <c r="AO4" s="1" t="s">
        <v>79</v>
      </c>
      <c r="AP4" s="1" t="s">
        <v>120</v>
      </c>
      <c r="AQ4" s="1" t="s">
        <v>76</v>
      </c>
      <c r="AR4" s="3" t="s">
        <v>121</v>
      </c>
      <c r="AS4" s="1" t="s">
        <v>83</v>
      </c>
      <c r="AT4" s="1" t="s">
        <v>84</v>
      </c>
    </row>
    <row r="5" spans="1:46" ht="19.899999999999999" customHeight="1" x14ac:dyDescent="0.25">
      <c r="A5" s="1" t="s">
        <v>46</v>
      </c>
      <c r="B5" s="1" t="s">
        <v>122</v>
      </c>
      <c r="C5" s="1" t="s">
        <v>48</v>
      </c>
      <c r="D5" s="1" t="s">
        <v>86</v>
      </c>
      <c r="E5" s="1" t="s">
        <v>87</v>
      </c>
      <c r="F5" s="1" t="s">
        <v>108</v>
      </c>
      <c r="G5" s="2">
        <v>10094</v>
      </c>
      <c r="H5" s="1" t="s">
        <v>123</v>
      </c>
      <c r="I5" s="1" t="s">
        <v>124</v>
      </c>
      <c r="J5" s="1" t="s">
        <v>125</v>
      </c>
      <c r="K5" s="1" t="s">
        <v>54</v>
      </c>
      <c r="L5" s="1" t="s">
        <v>55</v>
      </c>
      <c r="M5" s="1" t="s">
        <v>56</v>
      </c>
      <c r="N5" s="1" t="s">
        <v>126</v>
      </c>
      <c r="O5" s="1" t="s">
        <v>127</v>
      </c>
      <c r="P5" s="1" t="s">
        <v>128</v>
      </c>
      <c r="Q5" s="1" t="s">
        <v>60</v>
      </c>
      <c r="R5" s="1" t="s">
        <v>61</v>
      </c>
      <c r="S5" s="1" t="s">
        <v>62</v>
      </c>
      <c r="T5" t="s">
        <v>63</v>
      </c>
      <c r="U5" s="1" t="s">
        <v>94</v>
      </c>
      <c r="V5" s="1" t="s">
        <v>114</v>
      </c>
      <c r="W5" s="1" t="s">
        <v>129</v>
      </c>
      <c r="X5" s="1" t="s">
        <v>67</v>
      </c>
      <c r="Y5" s="1"/>
      <c r="Z5" s="1" t="s">
        <v>98</v>
      </c>
      <c r="AA5" s="1" t="s">
        <v>130</v>
      </c>
      <c r="AB5" s="1" t="s">
        <v>100</v>
      </c>
      <c r="AC5" s="1" t="s">
        <v>131</v>
      </c>
      <c r="AD5" s="3" t="s">
        <v>132</v>
      </c>
      <c r="AE5" s="1"/>
      <c r="AF5" s="1"/>
      <c r="AG5" s="1" t="s">
        <v>74</v>
      </c>
      <c r="AH5" s="1"/>
      <c r="AI5" s="1" t="s">
        <v>65</v>
      </c>
      <c r="AJ5" s="1" t="s">
        <v>64</v>
      </c>
      <c r="AK5" s="1" t="s">
        <v>81</v>
      </c>
      <c r="AL5" s="1" t="s">
        <v>68</v>
      </c>
      <c r="AM5" s="1" t="s">
        <v>133</v>
      </c>
      <c r="AN5" s="1" t="s">
        <v>105</v>
      </c>
      <c r="AO5" s="1" t="s">
        <v>74</v>
      </c>
      <c r="AP5" s="1"/>
      <c r="AQ5" s="1"/>
      <c r="AR5" s="3" t="s">
        <v>134</v>
      </c>
      <c r="AS5" s="1" t="s">
        <v>83</v>
      </c>
      <c r="AT5" s="1" t="s">
        <v>84</v>
      </c>
    </row>
    <row r="6" spans="1:46" ht="19.899999999999999" customHeight="1" x14ac:dyDescent="0.25">
      <c r="A6" s="1" t="s">
        <v>46</v>
      </c>
      <c r="B6" s="1" t="s">
        <v>135</v>
      </c>
      <c r="C6" s="1" t="s">
        <v>48</v>
      </c>
      <c r="D6" s="1" t="s">
        <v>49</v>
      </c>
      <c r="E6" s="1" t="s">
        <v>49</v>
      </c>
      <c r="F6" s="1" t="s">
        <v>108</v>
      </c>
      <c r="G6" s="2">
        <v>10099</v>
      </c>
      <c r="H6" s="1" t="s">
        <v>136</v>
      </c>
      <c r="I6" s="1" t="s">
        <v>137</v>
      </c>
      <c r="J6" s="1" t="s">
        <v>138</v>
      </c>
      <c r="K6" s="1" t="s">
        <v>54</v>
      </c>
      <c r="L6" s="1" t="s">
        <v>55</v>
      </c>
      <c r="M6" s="1" t="s">
        <v>139</v>
      </c>
      <c r="N6" s="1" t="s">
        <v>140</v>
      </c>
      <c r="O6" s="1" t="s">
        <v>141</v>
      </c>
      <c r="P6" s="1" t="s">
        <v>112</v>
      </c>
      <c r="Q6" s="1" t="s">
        <v>142</v>
      </c>
      <c r="R6" s="1" t="s">
        <v>61</v>
      </c>
      <c r="S6" s="1" t="s">
        <v>62</v>
      </c>
      <c r="T6" t="s">
        <v>63</v>
      </c>
      <c r="U6" s="1" t="s">
        <v>94</v>
      </c>
      <c r="V6" s="1" t="s">
        <v>143</v>
      </c>
      <c r="W6" s="1" t="s">
        <v>129</v>
      </c>
      <c r="X6" s="1" t="s">
        <v>144</v>
      </c>
      <c r="Y6" s="1" t="s">
        <v>145</v>
      </c>
      <c r="Z6" s="1" t="s">
        <v>98</v>
      </c>
      <c r="AA6" s="1" t="s">
        <v>130</v>
      </c>
      <c r="AB6" s="1" t="s">
        <v>146</v>
      </c>
      <c r="AC6" s="1" t="s">
        <v>131</v>
      </c>
      <c r="AD6" s="3" t="s">
        <v>147</v>
      </c>
      <c r="AE6" s="1" t="s">
        <v>144</v>
      </c>
      <c r="AF6" s="1" t="s">
        <v>144</v>
      </c>
      <c r="AG6" s="1" t="s">
        <v>74</v>
      </c>
      <c r="AH6" s="1"/>
      <c r="AI6" s="1" t="s">
        <v>65</v>
      </c>
      <c r="AJ6" s="1" t="s">
        <v>75</v>
      </c>
      <c r="AK6" s="1" t="s">
        <v>80</v>
      </c>
      <c r="AL6" s="1" t="s">
        <v>148</v>
      </c>
      <c r="AM6" s="1" t="s">
        <v>149</v>
      </c>
      <c r="AN6" s="1" t="s">
        <v>105</v>
      </c>
      <c r="AO6" s="1" t="s">
        <v>79</v>
      </c>
      <c r="AP6" s="1" t="s">
        <v>80</v>
      </c>
      <c r="AQ6" s="1" t="s">
        <v>80</v>
      </c>
      <c r="AR6" s="3" t="s">
        <v>150</v>
      </c>
      <c r="AS6" s="1" t="s">
        <v>83</v>
      </c>
      <c r="AT6" s="1" t="s">
        <v>84</v>
      </c>
    </row>
    <row r="7" spans="1:46" ht="19.899999999999999" customHeight="1" x14ac:dyDescent="0.25">
      <c r="A7" s="1" t="s">
        <v>46</v>
      </c>
      <c r="B7" s="1" t="s">
        <v>85</v>
      </c>
      <c r="C7" s="1" t="s">
        <v>48</v>
      </c>
      <c r="D7" s="1" t="s">
        <v>86</v>
      </c>
      <c r="E7" s="1" t="s">
        <v>87</v>
      </c>
      <c r="F7" s="1" t="s">
        <v>50</v>
      </c>
      <c r="G7" s="2">
        <v>10139</v>
      </c>
      <c r="H7" s="1" t="s">
        <v>151</v>
      </c>
      <c r="I7" s="1" t="s">
        <v>152</v>
      </c>
      <c r="J7" s="1" t="s">
        <v>125</v>
      </c>
      <c r="K7" s="1" t="s">
        <v>153</v>
      </c>
      <c r="L7" s="1" t="s">
        <v>55</v>
      </c>
      <c r="M7" s="1" t="s">
        <v>56</v>
      </c>
      <c r="N7" s="1" t="s">
        <v>126</v>
      </c>
      <c r="O7" s="1" t="s">
        <v>127</v>
      </c>
      <c r="P7" s="1" t="s">
        <v>154</v>
      </c>
      <c r="Q7" s="1" t="s">
        <v>60</v>
      </c>
      <c r="R7" s="1" t="s">
        <v>115</v>
      </c>
      <c r="S7" s="1" t="s">
        <v>62</v>
      </c>
      <c r="T7" t="s">
        <v>63</v>
      </c>
      <c r="U7" s="1" t="s">
        <v>64</v>
      </c>
      <c r="V7" s="1" t="s">
        <v>143</v>
      </c>
      <c r="W7" s="1" t="s">
        <v>129</v>
      </c>
      <c r="X7" s="1" t="s">
        <v>67</v>
      </c>
      <c r="Y7" s="1" t="s">
        <v>68</v>
      </c>
      <c r="Z7" s="1" t="s">
        <v>98</v>
      </c>
      <c r="AA7" s="1" t="s">
        <v>130</v>
      </c>
      <c r="AB7" s="1" t="s">
        <v>155</v>
      </c>
      <c r="AC7" s="1" t="s">
        <v>131</v>
      </c>
      <c r="AD7" s="3" t="s">
        <v>156</v>
      </c>
      <c r="AE7" s="1" t="s">
        <v>157</v>
      </c>
      <c r="AF7" s="1" t="s">
        <v>67</v>
      </c>
      <c r="AG7" s="1" t="s">
        <v>74</v>
      </c>
      <c r="AH7" s="1"/>
      <c r="AI7" s="1" t="s">
        <v>65</v>
      </c>
      <c r="AJ7" s="1" t="s">
        <v>64</v>
      </c>
      <c r="AK7" s="1" t="s">
        <v>81</v>
      </c>
      <c r="AL7" s="1" t="s">
        <v>148</v>
      </c>
      <c r="AM7" s="1" t="s">
        <v>133</v>
      </c>
      <c r="AN7" s="1" t="s">
        <v>105</v>
      </c>
      <c r="AO7" s="1" t="s">
        <v>79</v>
      </c>
      <c r="AP7" s="1" t="s">
        <v>120</v>
      </c>
      <c r="AQ7" s="1" t="s">
        <v>81</v>
      </c>
      <c r="AR7" s="3" t="s">
        <v>158</v>
      </c>
      <c r="AS7" s="1" t="s">
        <v>83</v>
      </c>
      <c r="AT7" s="1" t="s">
        <v>84</v>
      </c>
    </row>
    <row r="8" spans="1:46" ht="19.899999999999999" customHeight="1" x14ac:dyDescent="0.25">
      <c r="A8" s="1" t="s">
        <v>46</v>
      </c>
      <c r="B8" s="1" t="s">
        <v>85</v>
      </c>
      <c r="C8" s="1" t="s">
        <v>48</v>
      </c>
      <c r="D8" s="1" t="s">
        <v>86</v>
      </c>
      <c r="E8" s="1" t="s">
        <v>87</v>
      </c>
      <c r="F8" s="1" t="s">
        <v>108</v>
      </c>
      <c r="G8" s="2">
        <v>10177</v>
      </c>
      <c r="H8" s="1" t="s">
        <v>159</v>
      </c>
      <c r="I8" s="1" t="s">
        <v>160</v>
      </c>
      <c r="J8" s="1"/>
      <c r="K8" s="1" t="s">
        <v>115</v>
      </c>
      <c r="L8" s="1" t="s">
        <v>115</v>
      </c>
      <c r="M8" s="1" t="s">
        <v>161</v>
      </c>
      <c r="N8" s="1" t="s">
        <v>162</v>
      </c>
      <c r="O8" s="1" t="s">
        <v>163</v>
      </c>
      <c r="P8" s="1" t="s">
        <v>154</v>
      </c>
      <c r="Q8" s="1" t="s">
        <v>164</v>
      </c>
      <c r="R8" s="1" t="s">
        <v>115</v>
      </c>
      <c r="S8" s="1" t="s">
        <v>62</v>
      </c>
      <c r="T8" t="s">
        <v>63</v>
      </c>
      <c r="U8" s="1" t="s">
        <v>94</v>
      </c>
      <c r="V8" s="1" t="s">
        <v>115</v>
      </c>
      <c r="W8" s="1" t="s">
        <v>129</v>
      </c>
      <c r="X8" s="1" t="s">
        <v>96</v>
      </c>
      <c r="Y8" s="1"/>
      <c r="Z8" s="1" t="s">
        <v>115</v>
      </c>
      <c r="AA8" s="1" t="s">
        <v>165</v>
      </c>
      <c r="AB8" s="1" t="s">
        <v>87</v>
      </c>
      <c r="AC8" s="1" t="s">
        <v>166</v>
      </c>
      <c r="AD8" s="3"/>
      <c r="AE8" s="1"/>
      <c r="AF8" s="1"/>
      <c r="AG8" s="1" t="s">
        <v>74</v>
      </c>
      <c r="AH8" s="1"/>
      <c r="AI8" s="1" t="s">
        <v>115</v>
      </c>
      <c r="AJ8" s="1" t="s">
        <v>94</v>
      </c>
      <c r="AK8" s="1" t="s">
        <v>76</v>
      </c>
      <c r="AL8" s="1" t="s">
        <v>68</v>
      </c>
      <c r="AM8" s="1" t="s">
        <v>115</v>
      </c>
      <c r="AN8" s="1" t="s">
        <v>115</v>
      </c>
      <c r="AO8" s="1" t="s">
        <v>167</v>
      </c>
      <c r="AP8" s="1"/>
      <c r="AQ8" s="1"/>
      <c r="AR8" s="3" t="s">
        <v>168</v>
      </c>
      <c r="AS8" s="1" t="s">
        <v>83</v>
      </c>
      <c r="AT8" s="1" t="s">
        <v>84</v>
      </c>
    </row>
    <row r="9" spans="1:46" ht="19.899999999999999" customHeight="1" x14ac:dyDescent="0.25">
      <c r="A9" s="1" t="s">
        <v>169</v>
      </c>
      <c r="B9" s="1"/>
      <c r="C9" s="1" t="s">
        <v>48</v>
      </c>
      <c r="D9" s="1" t="s">
        <v>170</v>
      </c>
      <c r="E9" s="1" t="s">
        <v>170</v>
      </c>
      <c r="F9" s="1" t="s">
        <v>171</v>
      </c>
      <c r="G9" s="2">
        <v>1126</v>
      </c>
      <c r="H9" s="1" t="s">
        <v>172</v>
      </c>
      <c r="I9" s="1" t="s">
        <v>173</v>
      </c>
      <c r="J9" s="1" t="s">
        <v>174</v>
      </c>
      <c r="K9" s="1" t="s">
        <v>115</v>
      </c>
      <c r="L9" s="1" t="s">
        <v>115</v>
      </c>
      <c r="M9" s="1" t="s">
        <v>175</v>
      </c>
      <c r="N9" s="1" t="s">
        <v>176</v>
      </c>
      <c r="O9" s="1" t="s">
        <v>177</v>
      </c>
      <c r="P9" s="1" t="s">
        <v>178</v>
      </c>
      <c r="Q9" s="1" t="s">
        <v>179</v>
      </c>
      <c r="R9" s="1"/>
      <c r="S9" s="1" t="s">
        <v>180</v>
      </c>
      <c r="T9" t="e">
        <f>_xlfn.CONCAT(HQ,"-",A9, "-","smallbusiness@mail.nasa.gov")</f>
        <v>#NAME?</v>
      </c>
      <c r="U9" s="1"/>
      <c r="V9" s="1"/>
      <c r="W9" s="1" t="s">
        <v>66</v>
      </c>
      <c r="X9" s="1"/>
      <c r="Y9" s="1"/>
      <c r="Z9" s="1"/>
      <c r="AA9" s="1"/>
      <c r="AB9" s="1"/>
      <c r="AC9" s="1"/>
      <c r="AD9" s="3" t="s">
        <v>172</v>
      </c>
      <c r="AE9" s="1"/>
      <c r="AF9" s="1"/>
      <c r="AG9" s="1" t="s">
        <v>74</v>
      </c>
      <c r="AH9" s="1" t="s">
        <v>181</v>
      </c>
      <c r="AI9" s="1"/>
      <c r="AJ9" s="1"/>
      <c r="AK9" s="1"/>
      <c r="AL9" s="1" t="s">
        <v>68</v>
      </c>
      <c r="AM9" s="1" t="s">
        <v>182</v>
      </c>
      <c r="AN9" s="1"/>
      <c r="AO9" s="1"/>
      <c r="AP9" s="1"/>
      <c r="AQ9" s="1"/>
      <c r="AR9" s="3" t="s">
        <v>183</v>
      </c>
      <c r="AS9" s="1" t="s">
        <v>83</v>
      </c>
      <c r="AT9" s="1" t="s">
        <v>84</v>
      </c>
    </row>
    <row r="10" spans="1:46" ht="19.899999999999999" customHeight="1" x14ac:dyDescent="0.25">
      <c r="A10" s="1" t="s">
        <v>169</v>
      </c>
      <c r="B10" s="1" t="s">
        <v>184</v>
      </c>
      <c r="C10" s="1" t="s">
        <v>48</v>
      </c>
      <c r="D10" s="1" t="s">
        <v>49</v>
      </c>
      <c r="E10" s="1" t="s">
        <v>49</v>
      </c>
      <c r="F10" s="1" t="s">
        <v>49</v>
      </c>
      <c r="G10" s="2">
        <v>1158</v>
      </c>
      <c r="H10" s="1" t="s">
        <v>185</v>
      </c>
      <c r="I10" s="1" t="s">
        <v>186</v>
      </c>
      <c r="J10" s="1" t="s">
        <v>187</v>
      </c>
      <c r="K10" s="1" t="s">
        <v>153</v>
      </c>
      <c r="L10" s="1" t="s">
        <v>115</v>
      </c>
      <c r="M10" s="1" t="s">
        <v>188</v>
      </c>
      <c r="N10" s="1" t="s">
        <v>176</v>
      </c>
      <c r="O10" s="1" t="s">
        <v>177</v>
      </c>
      <c r="P10" s="1" t="s">
        <v>189</v>
      </c>
      <c r="Q10" s="1" t="s">
        <v>190</v>
      </c>
      <c r="R10" s="1" t="s">
        <v>191</v>
      </c>
      <c r="S10" s="1" t="s">
        <v>180</v>
      </c>
      <c r="T10" t="str">
        <f t="shared" ref="T10:T73" si="0">_xlfn.CONCAT(A10, "-","smallbusiness@mail.nasa.gov")</f>
        <v>ITPO-smallbusiness@mail.nasa.gov</v>
      </c>
      <c r="U10" s="1" t="s">
        <v>64</v>
      </c>
      <c r="V10" s="1" t="s">
        <v>143</v>
      </c>
      <c r="W10" s="1" t="s">
        <v>66</v>
      </c>
      <c r="X10" s="1" t="s">
        <v>192</v>
      </c>
      <c r="Y10" s="1" t="s">
        <v>68</v>
      </c>
      <c r="Z10" s="1" t="s">
        <v>193</v>
      </c>
      <c r="AA10" s="1" t="s">
        <v>165</v>
      </c>
      <c r="AB10" s="1" t="s">
        <v>194</v>
      </c>
      <c r="AC10" s="1" t="s">
        <v>131</v>
      </c>
      <c r="AD10" s="3" t="s">
        <v>195</v>
      </c>
      <c r="AE10" s="1"/>
      <c r="AF10" s="1"/>
      <c r="AG10" s="1" t="s">
        <v>74</v>
      </c>
      <c r="AH10" s="1"/>
      <c r="AI10" s="1" t="s">
        <v>95</v>
      </c>
      <c r="AJ10" s="1" t="s">
        <v>196</v>
      </c>
      <c r="AK10" s="1" t="s">
        <v>103</v>
      </c>
      <c r="AL10" s="1" t="s">
        <v>197</v>
      </c>
      <c r="AM10" s="1" t="s">
        <v>198</v>
      </c>
      <c r="AN10" s="1" t="s">
        <v>78</v>
      </c>
      <c r="AO10" s="1" t="s">
        <v>74</v>
      </c>
      <c r="AP10" s="1"/>
      <c r="AQ10" s="1"/>
      <c r="AR10" s="3" t="s">
        <v>199</v>
      </c>
      <c r="AS10" s="1" t="s">
        <v>83</v>
      </c>
      <c r="AT10" s="1" t="s">
        <v>84</v>
      </c>
    </row>
    <row r="11" spans="1:46" ht="19.899999999999999" customHeight="1" x14ac:dyDescent="0.25">
      <c r="A11" s="1" t="s">
        <v>169</v>
      </c>
      <c r="B11" s="1" t="s">
        <v>200</v>
      </c>
      <c r="C11" s="1" t="s">
        <v>48</v>
      </c>
      <c r="D11" s="1" t="s">
        <v>86</v>
      </c>
      <c r="E11" s="1" t="s">
        <v>87</v>
      </c>
      <c r="F11" s="1" t="s">
        <v>108</v>
      </c>
      <c r="G11" s="2">
        <v>9836</v>
      </c>
      <c r="H11" s="1" t="s">
        <v>201</v>
      </c>
      <c r="I11" s="1" t="s">
        <v>173</v>
      </c>
      <c r="J11" s="1" t="s">
        <v>174</v>
      </c>
      <c r="K11" s="1" t="s">
        <v>153</v>
      </c>
      <c r="L11" s="1" t="s">
        <v>55</v>
      </c>
      <c r="M11" s="1" t="s">
        <v>202</v>
      </c>
      <c r="N11" s="1" t="s">
        <v>203</v>
      </c>
      <c r="O11" s="1" t="s">
        <v>204</v>
      </c>
      <c r="P11" s="1" t="s">
        <v>178</v>
      </c>
      <c r="Q11" s="1" t="s">
        <v>205</v>
      </c>
      <c r="R11" s="1" t="s">
        <v>61</v>
      </c>
      <c r="S11" s="1" t="s">
        <v>180</v>
      </c>
      <c r="T11" t="str">
        <f t="shared" si="0"/>
        <v>ITPO-smallbusiness@mail.nasa.gov</v>
      </c>
      <c r="U11" s="1" t="s">
        <v>94</v>
      </c>
      <c r="V11" s="1" t="s">
        <v>95</v>
      </c>
      <c r="W11" s="1" t="s">
        <v>66</v>
      </c>
      <c r="X11" s="1" t="s">
        <v>144</v>
      </c>
      <c r="Y11" s="1" t="s">
        <v>68</v>
      </c>
      <c r="Z11" s="1" t="s">
        <v>69</v>
      </c>
      <c r="AA11" s="1" t="s">
        <v>130</v>
      </c>
      <c r="AB11" s="1" t="s">
        <v>200</v>
      </c>
      <c r="AC11" s="1" t="s">
        <v>101</v>
      </c>
      <c r="AD11" s="3" t="s">
        <v>206</v>
      </c>
      <c r="AE11" s="1"/>
      <c r="AF11" s="1"/>
      <c r="AG11" s="1" t="s">
        <v>74</v>
      </c>
      <c r="AH11" s="1"/>
      <c r="AI11" s="1" t="s">
        <v>114</v>
      </c>
      <c r="AJ11" s="1" t="s">
        <v>94</v>
      </c>
      <c r="AK11" s="1" t="s">
        <v>76</v>
      </c>
      <c r="AL11" s="1" t="s">
        <v>207</v>
      </c>
      <c r="AM11" s="1" t="s">
        <v>77</v>
      </c>
      <c r="AN11" s="1"/>
      <c r="AO11" s="1" t="s">
        <v>74</v>
      </c>
      <c r="AP11" s="1"/>
      <c r="AQ11" s="1"/>
      <c r="AR11" s="3" t="s">
        <v>208</v>
      </c>
      <c r="AS11" s="1" t="s">
        <v>83</v>
      </c>
      <c r="AT11" s="1" t="s">
        <v>84</v>
      </c>
    </row>
    <row r="12" spans="1:46" ht="19.899999999999999" customHeight="1" x14ac:dyDescent="0.25">
      <c r="A12" s="1" t="s">
        <v>209</v>
      </c>
      <c r="B12" s="1" t="s">
        <v>210</v>
      </c>
      <c r="C12" s="1" t="s">
        <v>48</v>
      </c>
      <c r="D12" s="1" t="s">
        <v>86</v>
      </c>
      <c r="E12" s="1" t="s">
        <v>87</v>
      </c>
      <c r="F12" s="1" t="s">
        <v>108</v>
      </c>
      <c r="G12" s="2">
        <v>10069</v>
      </c>
      <c r="H12" s="1" t="s">
        <v>211</v>
      </c>
      <c r="I12" s="1" t="s">
        <v>212</v>
      </c>
      <c r="J12" s="1" t="s">
        <v>213</v>
      </c>
      <c r="K12" s="1" t="s">
        <v>214</v>
      </c>
      <c r="L12" s="1" t="s">
        <v>55</v>
      </c>
      <c r="M12" s="1" t="s">
        <v>56</v>
      </c>
      <c r="N12" s="1" t="s">
        <v>215</v>
      </c>
      <c r="O12" s="1" t="s">
        <v>216</v>
      </c>
      <c r="P12" s="1" t="s">
        <v>217</v>
      </c>
      <c r="Q12" s="1" t="s">
        <v>60</v>
      </c>
      <c r="R12" s="1" t="s">
        <v>61</v>
      </c>
      <c r="S12" s="1" t="s">
        <v>180</v>
      </c>
      <c r="T12" t="str">
        <f t="shared" si="0"/>
        <v>LaRC-smallbusiness@mail.nasa.gov</v>
      </c>
      <c r="U12" s="1" t="s">
        <v>113</v>
      </c>
      <c r="V12" s="1" t="s">
        <v>114</v>
      </c>
      <c r="W12" s="1" t="s">
        <v>66</v>
      </c>
      <c r="X12" s="1" t="s">
        <v>144</v>
      </c>
      <c r="Y12" s="1"/>
      <c r="Z12" s="1" t="s">
        <v>115</v>
      </c>
      <c r="AA12" s="1" t="s">
        <v>70</v>
      </c>
      <c r="AB12" s="1" t="s">
        <v>87</v>
      </c>
      <c r="AC12" s="1" t="s">
        <v>116</v>
      </c>
      <c r="AD12" s="3" t="s">
        <v>218</v>
      </c>
      <c r="AE12" s="1"/>
      <c r="AF12" s="1"/>
      <c r="AG12" s="1" t="s">
        <v>74</v>
      </c>
      <c r="AH12" s="1"/>
      <c r="AI12" s="1" t="s">
        <v>95</v>
      </c>
      <c r="AJ12" s="1" t="s">
        <v>119</v>
      </c>
      <c r="AK12" s="1" t="s">
        <v>76</v>
      </c>
      <c r="AL12" s="1" t="s">
        <v>197</v>
      </c>
      <c r="AM12" s="1" t="s">
        <v>133</v>
      </c>
      <c r="AN12" s="1" t="s">
        <v>78</v>
      </c>
      <c r="AO12" s="1" t="s">
        <v>74</v>
      </c>
      <c r="AP12" s="1"/>
      <c r="AQ12" s="1"/>
      <c r="AR12" s="3" t="s">
        <v>219</v>
      </c>
      <c r="AS12" s="1" t="s">
        <v>83</v>
      </c>
      <c r="AT12" s="1" t="s">
        <v>84</v>
      </c>
    </row>
    <row r="13" spans="1:46" ht="19.899999999999999" customHeight="1" x14ac:dyDescent="0.25">
      <c r="A13" s="1" t="s">
        <v>209</v>
      </c>
      <c r="B13" s="1" t="s">
        <v>220</v>
      </c>
      <c r="C13" s="1" t="s">
        <v>48</v>
      </c>
      <c r="D13" s="1" t="s">
        <v>86</v>
      </c>
      <c r="E13" s="1" t="s">
        <v>87</v>
      </c>
      <c r="F13" s="1" t="s">
        <v>108</v>
      </c>
      <c r="G13" s="2">
        <v>10070</v>
      </c>
      <c r="H13" s="1" t="s">
        <v>221</v>
      </c>
      <c r="I13" s="1" t="s">
        <v>222</v>
      </c>
      <c r="J13" s="1" t="s">
        <v>223</v>
      </c>
      <c r="K13" s="1" t="s">
        <v>214</v>
      </c>
      <c r="L13" s="1" t="s">
        <v>55</v>
      </c>
      <c r="M13" s="1" t="s">
        <v>224</v>
      </c>
      <c r="N13" s="1" t="s">
        <v>225</v>
      </c>
      <c r="O13" s="1" t="s">
        <v>226</v>
      </c>
      <c r="P13" s="1" t="s">
        <v>217</v>
      </c>
      <c r="Q13" s="1" t="s">
        <v>227</v>
      </c>
      <c r="R13" s="1" t="s">
        <v>61</v>
      </c>
      <c r="S13" s="1" t="s">
        <v>180</v>
      </c>
      <c r="T13" t="str">
        <f t="shared" si="0"/>
        <v>LaRC-smallbusiness@mail.nasa.gov</v>
      </c>
      <c r="U13" s="1" t="s">
        <v>64</v>
      </c>
      <c r="V13" s="1" t="s">
        <v>143</v>
      </c>
      <c r="W13" s="1" t="s">
        <v>66</v>
      </c>
      <c r="X13" s="1" t="s">
        <v>228</v>
      </c>
      <c r="Y13" s="1" t="s">
        <v>229</v>
      </c>
      <c r="Z13" s="1" t="s">
        <v>115</v>
      </c>
      <c r="AA13" s="1" t="s">
        <v>130</v>
      </c>
      <c r="AB13" s="1" t="s">
        <v>87</v>
      </c>
      <c r="AC13" s="1" t="s">
        <v>230</v>
      </c>
      <c r="AD13" s="3" t="s">
        <v>231</v>
      </c>
      <c r="AE13" s="1"/>
      <c r="AF13" s="1"/>
      <c r="AG13" s="1" t="s">
        <v>74</v>
      </c>
      <c r="AH13" s="1"/>
      <c r="AI13" s="1" t="s">
        <v>65</v>
      </c>
      <c r="AJ13" s="1" t="s">
        <v>64</v>
      </c>
      <c r="AK13" s="1" t="s">
        <v>76</v>
      </c>
      <c r="AL13" s="1" t="s">
        <v>207</v>
      </c>
      <c r="AM13" s="1" t="s">
        <v>77</v>
      </c>
      <c r="AN13" s="1"/>
      <c r="AO13" s="1" t="s">
        <v>74</v>
      </c>
      <c r="AP13" s="1"/>
      <c r="AQ13" s="1"/>
      <c r="AR13" s="3" t="s">
        <v>232</v>
      </c>
      <c r="AS13" s="1" t="s">
        <v>83</v>
      </c>
      <c r="AT13" s="1" t="s">
        <v>84</v>
      </c>
    </row>
    <row r="14" spans="1:46" ht="19.899999999999999" customHeight="1" x14ac:dyDescent="0.25">
      <c r="A14" s="1" t="s">
        <v>209</v>
      </c>
      <c r="B14" s="1" t="s">
        <v>220</v>
      </c>
      <c r="C14" s="1" t="s">
        <v>48</v>
      </c>
      <c r="D14" s="1" t="s">
        <v>86</v>
      </c>
      <c r="E14" s="1" t="s">
        <v>87</v>
      </c>
      <c r="F14" s="1" t="s">
        <v>108</v>
      </c>
      <c r="G14" s="2">
        <v>10071</v>
      </c>
      <c r="H14" s="1" t="s">
        <v>233</v>
      </c>
      <c r="I14" s="1" t="s">
        <v>234</v>
      </c>
      <c r="J14" s="1" t="s">
        <v>235</v>
      </c>
      <c r="K14" s="1" t="s">
        <v>214</v>
      </c>
      <c r="L14" s="1" t="s">
        <v>55</v>
      </c>
      <c r="M14" s="1" t="s">
        <v>236</v>
      </c>
      <c r="N14" s="1" t="s">
        <v>215</v>
      </c>
      <c r="O14" s="1" t="s">
        <v>216</v>
      </c>
      <c r="P14" s="1" t="s">
        <v>112</v>
      </c>
      <c r="Q14" s="1" t="s">
        <v>237</v>
      </c>
      <c r="R14" s="1" t="s">
        <v>61</v>
      </c>
      <c r="S14" s="1" t="s">
        <v>180</v>
      </c>
      <c r="T14" t="str">
        <f t="shared" si="0"/>
        <v>LaRC-smallbusiness@mail.nasa.gov</v>
      </c>
      <c r="U14" s="1" t="s">
        <v>119</v>
      </c>
      <c r="V14" s="1" t="s">
        <v>143</v>
      </c>
      <c r="W14" s="1" t="s">
        <v>66</v>
      </c>
      <c r="X14" s="1" t="s">
        <v>238</v>
      </c>
      <c r="Y14" s="1"/>
      <c r="Z14" s="1" t="s">
        <v>115</v>
      </c>
      <c r="AA14" s="1" t="s">
        <v>115</v>
      </c>
      <c r="AB14" s="1" t="s">
        <v>87</v>
      </c>
      <c r="AC14" s="1" t="s">
        <v>116</v>
      </c>
      <c r="AD14" s="3" t="s">
        <v>239</v>
      </c>
      <c r="AE14" s="1"/>
      <c r="AF14" s="1"/>
      <c r="AG14" s="1" t="s">
        <v>74</v>
      </c>
      <c r="AH14" s="1"/>
      <c r="AI14" s="1" t="s">
        <v>95</v>
      </c>
      <c r="AJ14" s="1" t="s">
        <v>119</v>
      </c>
      <c r="AK14" s="1" t="s">
        <v>76</v>
      </c>
      <c r="AL14" s="1" t="s">
        <v>197</v>
      </c>
      <c r="AM14" s="1" t="s">
        <v>133</v>
      </c>
      <c r="AN14" s="1" t="s">
        <v>115</v>
      </c>
      <c r="AO14" s="1" t="s">
        <v>167</v>
      </c>
      <c r="AP14" s="1"/>
      <c r="AQ14" s="1"/>
      <c r="AR14" s="3" t="s">
        <v>240</v>
      </c>
      <c r="AS14" s="1" t="s">
        <v>83</v>
      </c>
      <c r="AT14" s="1" t="s">
        <v>84</v>
      </c>
    </row>
    <row r="15" spans="1:46" ht="19.899999999999999" customHeight="1" x14ac:dyDescent="0.25">
      <c r="A15" s="1" t="s">
        <v>209</v>
      </c>
      <c r="B15" s="1" t="s">
        <v>210</v>
      </c>
      <c r="C15" s="1" t="s">
        <v>48</v>
      </c>
      <c r="D15" s="1" t="s">
        <v>86</v>
      </c>
      <c r="E15" s="1" t="s">
        <v>87</v>
      </c>
      <c r="F15" s="1" t="s">
        <v>108</v>
      </c>
      <c r="G15" s="2">
        <v>10133</v>
      </c>
      <c r="H15" s="1" t="s">
        <v>241</v>
      </c>
      <c r="I15" s="1" t="s">
        <v>242</v>
      </c>
      <c r="J15" s="1" t="s">
        <v>243</v>
      </c>
      <c r="K15" s="1" t="s">
        <v>214</v>
      </c>
      <c r="L15" s="1" t="s">
        <v>55</v>
      </c>
      <c r="M15" s="1" t="s">
        <v>56</v>
      </c>
      <c r="N15" s="1" t="s">
        <v>244</v>
      </c>
      <c r="O15" s="1" t="s">
        <v>245</v>
      </c>
      <c r="P15" s="1" t="s">
        <v>246</v>
      </c>
      <c r="Q15" s="1" t="s">
        <v>60</v>
      </c>
      <c r="R15" s="1" t="s">
        <v>61</v>
      </c>
      <c r="S15" s="1" t="s">
        <v>180</v>
      </c>
      <c r="T15" t="str">
        <f t="shared" si="0"/>
        <v>LaRC-smallbusiness@mail.nasa.gov</v>
      </c>
      <c r="U15" s="1" t="s">
        <v>94</v>
      </c>
      <c r="V15" s="1" t="s">
        <v>65</v>
      </c>
      <c r="W15" s="1" t="s">
        <v>66</v>
      </c>
      <c r="X15" s="1" t="s">
        <v>118</v>
      </c>
      <c r="Y15" s="1"/>
      <c r="Z15" s="1" t="s">
        <v>115</v>
      </c>
      <c r="AA15" s="1" t="s">
        <v>115</v>
      </c>
      <c r="AB15" s="1" t="s">
        <v>87</v>
      </c>
      <c r="AC15" s="1" t="s">
        <v>247</v>
      </c>
      <c r="AD15" s="3" t="s">
        <v>248</v>
      </c>
      <c r="AE15" s="1"/>
      <c r="AF15" s="1"/>
      <c r="AG15" s="1" t="s">
        <v>74</v>
      </c>
      <c r="AH15" s="1"/>
      <c r="AI15" s="1" t="s">
        <v>143</v>
      </c>
      <c r="AJ15" s="1" t="s">
        <v>64</v>
      </c>
      <c r="AK15" s="1" t="s">
        <v>76</v>
      </c>
      <c r="AL15" s="1" t="s">
        <v>104</v>
      </c>
      <c r="AM15" s="1" t="s">
        <v>77</v>
      </c>
      <c r="AN15" s="1" t="s">
        <v>115</v>
      </c>
      <c r="AO15" s="1" t="s">
        <v>74</v>
      </c>
      <c r="AP15" s="1"/>
      <c r="AQ15" s="1"/>
      <c r="AR15" s="3" t="s">
        <v>249</v>
      </c>
      <c r="AS15" s="1" t="s">
        <v>83</v>
      </c>
      <c r="AT15" s="1" t="s">
        <v>84</v>
      </c>
    </row>
    <row r="16" spans="1:46" ht="19.899999999999999" customHeight="1" x14ac:dyDescent="0.25">
      <c r="A16" s="1" t="s">
        <v>250</v>
      </c>
      <c r="B16" s="1"/>
      <c r="C16" s="1" t="s">
        <v>48</v>
      </c>
      <c r="D16" s="1" t="s">
        <v>49</v>
      </c>
      <c r="E16" s="1" t="s">
        <v>49</v>
      </c>
      <c r="F16" s="1" t="s">
        <v>49</v>
      </c>
      <c r="G16" s="2">
        <v>141</v>
      </c>
      <c r="H16" s="1" t="s">
        <v>251</v>
      </c>
      <c r="I16" s="1" t="s">
        <v>252</v>
      </c>
      <c r="J16" s="1" t="s">
        <v>253</v>
      </c>
      <c r="K16" s="1" t="s">
        <v>254</v>
      </c>
      <c r="L16" s="1" t="s">
        <v>55</v>
      </c>
      <c r="M16" s="1" t="s">
        <v>255</v>
      </c>
      <c r="N16" s="1" t="s">
        <v>256</v>
      </c>
      <c r="O16" s="1" t="s">
        <v>257</v>
      </c>
      <c r="P16" s="1" t="s">
        <v>189</v>
      </c>
      <c r="Q16" s="1" t="s">
        <v>258</v>
      </c>
      <c r="R16" s="1" t="s">
        <v>61</v>
      </c>
      <c r="S16" s="1" t="s">
        <v>259</v>
      </c>
      <c r="T16" t="str">
        <f t="shared" si="0"/>
        <v>GSFC-smallbusiness@mail.nasa.gov</v>
      </c>
      <c r="U16" s="1" t="s">
        <v>64</v>
      </c>
      <c r="V16" s="1" t="s">
        <v>95</v>
      </c>
      <c r="W16" s="1" t="s">
        <v>66</v>
      </c>
      <c r="X16" s="1" t="s">
        <v>238</v>
      </c>
      <c r="Y16" s="1" t="s">
        <v>260</v>
      </c>
      <c r="Z16" s="1" t="s">
        <v>261</v>
      </c>
      <c r="AA16" s="1" t="s">
        <v>130</v>
      </c>
      <c r="AB16" s="1" t="s">
        <v>262</v>
      </c>
      <c r="AC16" s="1" t="s">
        <v>263</v>
      </c>
      <c r="AD16" s="3" t="s">
        <v>264</v>
      </c>
      <c r="AE16" s="1"/>
      <c r="AF16" s="1"/>
      <c r="AG16" s="1" t="s">
        <v>74</v>
      </c>
      <c r="AH16" s="1"/>
      <c r="AI16" s="1" t="s">
        <v>114</v>
      </c>
      <c r="AJ16" s="1" t="s">
        <v>265</v>
      </c>
      <c r="AK16" s="1" t="s">
        <v>76</v>
      </c>
      <c r="AL16" s="1" t="s">
        <v>148</v>
      </c>
      <c r="AM16" s="1" t="s">
        <v>77</v>
      </c>
      <c r="AN16" s="1" t="s">
        <v>105</v>
      </c>
      <c r="AO16" s="1" t="s">
        <v>74</v>
      </c>
      <c r="AP16" s="1"/>
      <c r="AQ16" s="1"/>
      <c r="AR16" s="3" t="s">
        <v>266</v>
      </c>
      <c r="AS16" s="1" t="s">
        <v>83</v>
      </c>
      <c r="AT16" s="1" t="s">
        <v>84</v>
      </c>
    </row>
    <row r="17" spans="1:46" ht="19.899999999999999" customHeight="1" x14ac:dyDescent="0.25">
      <c r="A17" s="1" t="s">
        <v>250</v>
      </c>
      <c r="B17" s="1" t="s">
        <v>267</v>
      </c>
      <c r="C17" s="1" t="s">
        <v>48</v>
      </c>
      <c r="D17" s="1" t="s">
        <v>86</v>
      </c>
      <c r="E17" s="1" t="s">
        <v>87</v>
      </c>
      <c r="F17" s="1" t="s">
        <v>108</v>
      </c>
      <c r="G17" s="2">
        <v>9912</v>
      </c>
      <c r="H17" s="1" t="s">
        <v>268</v>
      </c>
      <c r="I17" s="1" t="s">
        <v>269</v>
      </c>
      <c r="J17" s="1" t="s">
        <v>270</v>
      </c>
      <c r="K17" s="1" t="s">
        <v>254</v>
      </c>
      <c r="L17" s="1" t="s">
        <v>55</v>
      </c>
      <c r="M17" s="1" t="s">
        <v>56</v>
      </c>
      <c r="N17" s="1" t="s">
        <v>271</v>
      </c>
      <c r="O17" s="1" t="s">
        <v>272</v>
      </c>
      <c r="P17" s="1" t="s">
        <v>246</v>
      </c>
      <c r="Q17" s="1" t="s">
        <v>60</v>
      </c>
      <c r="R17" s="1" t="s">
        <v>61</v>
      </c>
      <c r="S17" s="1" t="s">
        <v>259</v>
      </c>
      <c r="T17" t="str">
        <f t="shared" si="0"/>
        <v>GSFC-smallbusiness@mail.nasa.gov</v>
      </c>
      <c r="U17" s="1" t="s">
        <v>64</v>
      </c>
      <c r="V17" s="1" t="s">
        <v>115</v>
      </c>
      <c r="W17" s="1" t="s">
        <v>66</v>
      </c>
      <c r="X17" s="1" t="s">
        <v>67</v>
      </c>
      <c r="Y17" s="1" t="s">
        <v>273</v>
      </c>
      <c r="Z17" s="1" t="s">
        <v>69</v>
      </c>
      <c r="AA17" s="1" t="s">
        <v>70</v>
      </c>
      <c r="AB17" s="1" t="s">
        <v>87</v>
      </c>
      <c r="AC17" s="1" t="s">
        <v>167</v>
      </c>
      <c r="AD17" s="3"/>
      <c r="AE17" s="1"/>
      <c r="AF17" s="1"/>
      <c r="AG17" s="1" t="s">
        <v>74</v>
      </c>
      <c r="AH17" s="1"/>
      <c r="AI17" s="1" t="s">
        <v>115</v>
      </c>
      <c r="AJ17" s="1" t="s">
        <v>75</v>
      </c>
      <c r="AK17" s="1" t="s">
        <v>76</v>
      </c>
      <c r="AL17" s="1" t="s">
        <v>104</v>
      </c>
      <c r="AM17" s="1" t="s">
        <v>77</v>
      </c>
      <c r="AN17" s="1" t="s">
        <v>78</v>
      </c>
      <c r="AO17" s="1" t="s">
        <v>74</v>
      </c>
      <c r="AP17" s="1"/>
      <c r="AQ17" s="1"/>
      <c r="AR17" s="3" t="s">
        <v>274</v>
      </c>
      <c r="AS17" s="1" t="s">
        <v>83</v>
      </c>
      <c r="AT17" s="1" t="s">
        <v>84</v>
      </c>
    </row>
    <row r="18" spans="1:46" ht="19.899999999999999" customHeight="1" x14ac:dyDescent="0.25">
      <c r="A18" s="1" t="s">
        <v>250</v>
      </c>
      <c r="B18" s="1" t="s">
        <v>267</v>
      </c>
      <c r="C18" s="1" t="s">
        <v>48</v>
      </c>
      <c r="D18" s="1" t="s">
        <v>86</v>
      </c>
      <c r="E18" s="1" t="s">
        <v>87</v>
      </c>
      <c r="F18" s="1" t="s">
        <v>108</v>
      </c>
      <c r="G18" s="2">
        <v>9923</v>
      </c>
      <c r="H18" s="1" t="s">
        <v>275</v>
      </c>
      <c r="I18" s="1" t="s">
        <v>276</v>
      </c>
      <c r="J18" s="1" t="s">
        <v>277</v>
      </c>
      <c r="K18" s="1" t="s">
        <v>115</v>
      </c>
      <c r="L18" s="1" t="s">
        <v>55</v>
      </c>
      <c r="M18" s="1" t="s">
        <v>278</v>
      </c>
      <c r="N18" s="1" t="s">
        <v>279</v>
      </c>
      <c r="O18" s="1" t="s">
        <v>280</v>
      </c>
      <c r="P18" s="1" t="s">
        <v>246</v>
      </c>
      <c r="Q18" s="1" t="s">
        <v>281</v>
      </c>
      <c r="R18" s="1" t="s">
        <v>61</v>
      </c>
      <c r="S18" s="1" t="s">
        <v>259</v>
      </c>
      <c r="T18" t="str">
        <f t="shared" si="0"/>
        <v>GSFC-smallbusiness@mail.nasa.gov</v>
      </c>
      <c r="U18" s="1" t="s">
        <v>94</v>
      </c>
      <c r="V18" s="1" t="s">
        <v>115</v>
      </c>
      <c r="W18" s="1" t="s">
        <v>129</v>
      </c>
      <c r="X18" s="1" t="s">
        <v>67</v>
      </c>
      <c r="Y18" s="1" t="s">
        <v>68</v>
      </c>
      <c r="Z18" s="1" t="s">
        <v>98</v>
      </c>
      <c r="AA18" s="1" t="s">
        <v>130</v>
      </c>
      <c r="AB18" s="1" t="s">
        <v>87</v>
      </c>
      <c r="AC18" s="1" t="s">
        <v>167</v>
      </c>
      <c r="AD18" s="3"/>
      <c r="AE18" s="1"/>
      <c r="AF18" s="1"/>
      <c r="AG18" s="1" t="s">
        <v>74</v>
      </c>
      <c r="AH18" s="1"/>
      <c r="AI18" s="1" t="s">
        <v>115</v>
      </c>
      <c r="AJ18" s="1" t="s">
        <v>64</v>
      </c>
      <c r="AK18" s="1" t="s">
        <v>81</v>
      </c>
      <c r="AL18" s="1" t="s">
        <v>148</v>
      </c>
      <c r="AM18" s="1" t="s">
        <v>115</v>
      </c>
      <c r="AN18" s="1" t="s">
        <v>105</v>
      </c>
      <c r="AO18" s="1" t="s">
        <v>74</v>
      </c>
      <c r="AP18" s="1"/>
      <c r="AQ18" s="1"/>
      <c r="AR18" s="3" t="s">
        <v>282</v>
      </c>
      <c r="AS18" s="1" t="s">
        <v>83</v>
      </c>
      <c r="AT18" s="1" t="s">
        <v>84</v>
      </c>
    </row>
    <row r="19" spans="1:46" ht="19.899999999999999" customHeight="1" x14ac:dyDescent="0.25">
      <c r="A19" s="1" t="s">
        <v>250</v>
      </c>
      <c r="B19" s="1"/>
      <c r="C19" s="1" t="s">
        <v>48</v>
      </c>
      <c r="D19" s="1" t="s">
        <v>86</v>
      </c>
      <c r="E19" s="1" t="s">
        <v>87</v>
      </c>
      <c r="F19" s="1" t="s">
        <v>108</v>
      </c>
      <c r="G19" s="2">
        <v>10058</v>
      </c>
      <c r="H19" s="1" t="s">
        <v>283</v>
      </c>
      <c r="I19" s="1" t="s">
        <v>284</v>
      </c>
      <c r="J19" s="1" t="s">
        <v>285</v>
      </c>
      <c r="K19" s="1" t="s">
        <v>254</v>
      </c>
      <c r="L19" s="1" t="s">
        <v>55</v>
      </c>
      <c r="M19" s="1" t="s">
        <v>188</v>
      </c>
      <c r="N19" s="1" t="s">
        <v>286</v>
      </c>
      <c r="O19" s="1" t="s">
        <v>287</v>
      </c>
      <c r="P19" s="1" t="s">
        <v>246</v>
      </c>
      <c r="Q19" s="1" t="s">
        <v>190</v>
      </c>
      <c r="R19" s="1" t="s">
        <v>61</v>
      </c>
      <c r="S19" s="1" t="s">
        <v>259</v>
      </c>
      <c r="T19" t="str">
        <f t="shared" si="0"/>
        <v>GSFC-smallbusiness@mail.nasa.gov</v>
      </c>
      <c r="U19" s="1" t="s">
        <v>94</v>
      </c>
      <c r="V19" s="1" t="s">
        <v>115</v>
      </c>
      <c r="W19" s="1" t="s">
        <v>66</v>
      </c>
      <c r="X19" s="1" t="s">
        <v>67</v>
      </c>
      <c r="Y19" s="1" t="s">
        <v>260</v>
      </c>
      <c r="Z19" s="1" t="s">
        <v>98</v>
      </c>
      <c r="AA19" s="1" t="s">
        <v>99</v>
      </c>
      <c r="AB19" s="1" t="s">
        <v>87</v>
      </c>
      <c r="AC19" s="1" t="s">
        <v>167</v>
      </c>
      <c r="AD19" s="3"/>
      <c r="AE19" s="1"/>
      <c r="AF19" s="1"/>
      <c r="AG19" s="1" t="s">
        <v>74</v>
      </c>
      <c r="AH19" s="1"/>
      <c r="AI19" s="1" t="s">
        <v>115</v>
      </c>
      <c r="AJ19" s="1" t="s">
        <v>64</v>
      </c>
      <c r="AK19" s="1" t="s">
        <v>76</v>
      </c>
      <c r="AL19" s="1" t="s">
        <v>104</v>
      </c>
      <c r="AM19" s="1" t="s">
        <v>77</v>
      </c>
      <c r="AN19" s="1" t="s">
        <v>105</v>
      </c>
      <c r="AO19" s="1" t="s">
        <v>74</v>
      </c>
      <c r="AP19" s="1"/>
      <c r="AQ19" s="1"/>
      <c r="AR19" s="3" t="s">
        <v>288</v>
      </c>
      <c r="AS19" s="1" t="s">
        <v>83</v>
      </c>
      <c r="AT19" s="1" t="s">
        <v>84</v>
      </c>
    </row>
    <row r="20" spans="1:46" ht="19.899999999999999" customHeight="1" x14ac:dyDescent="0.25">
      <c r="A20" s="1" t="s">
        <v>250</v>
      </c>
      <c r="B20" s="1" t="s">
        <v>289</v>
      </c>
      <c r="C20" s="1" t="s">
        <v>48</v>
      </c>
      <c r="D20" s="1" t="s">
        <v>86</v>
      </c>
      <c r="E20" s="1" t="s">
        <v>87</v>
      </c>
      <c r="F20" s="1" t="s">
        <v>108</v>
      </c>
      <c r="G20" s="2">
        <v>10098</v>
      </c>
      <c r="H20" s="1" t="s">
        <v>290</v>
      </c>
      <c r="I20" s="1" t="s">
        <v>291</v>
      </c>
      <c r="J20" s="1" t="s">
        <v>292</v>
      </c>
      <c r="K20" s="1" t="s">
        <v>115</v>
      </c>
      <c r="L20" s="1" t="s">
        <v>55</v>
      </c>
      <c r="M20" s="1" t="s">
        <v>236</v>
      </c>
      <c r="N20" s="1" t="s">
        <v>215</v>
      </c>
      <c r="O20" s="1" t="s">
        <v>216</v>
      </c>
      <c r="P20" s="1" t="s">
        <v>246</v>
      </c>
      <c r="Q20" s="1" t="s">
        <v>237</v>
      </c>
      <c r="R20" s="1" t="s">
        <v>191</v>
      </c>
      <c r="S20" s="1" t="s">
        <v>259</v>
      </c>
      <c r="T20" t="str">
        <f t="shared" si="0"/>
        <v>GSFC-smallbusiness@mail.nasa.gov</v>
      </c>
      <c r="U20" s="1" t="s">
        <v>94</v>
      </c>
      <c r="V20" s="1" t="s">
        <v>115</v>
      </c>
      <c r="W20" s="1" t="s">
        <v>129</v>
      </c>
      <c r="X20" s="1" t="s">
        <v>157</v>
      </c>
      <c r="Y20" s="1"/>
      <c r="Z20" s="1" t="s">
        <v>293</v>
      </c>
      <c r="AA20" s="1" t="s">
        <v>115</v>
      </c>
      <c r="AB20" s="1" t="s">
        <v>87</v>
      </c>
      <c r="AC20" s="1" t="s">
        <v>131</v>
      </c>
      <c r="AD20" s="3" t="s">
        <v>294</v>
      </c>
      <c r="AE20" s="1" t="s">
        <v>67</v>
      </c>
      <c r="AF20" s="1" t="s">
        <v>67</v>
      </c>
      <c r="AG20" s="1" t="s">
        <v>74</v>
      </c>
      <c r="AH20" s="1"/>
      <c r="AI20" s="1" t="s">
        <v>115</v>
      </c>
      <c r="AJ20" s="1" t="s">
        <v>64</v>
      </c>
      <c r="AK20" s="1" t="s">
        <v>103</v>
      </c>
      <c r="AL20" s="1" t="s">
        <v>295</v>
      </c>
      <c r="AM20" s="1" t="s">
        <v>133</v>
      </c>
      <c r="AN20" s="1" t="s">
        <v>105</v>
      </c>
      <c r="AO20" s="1" t="s">
        <v>79</v>
      </c>
      <c r="AP20" s="1" t="s">
        <v>103</v>
      </c>
      <c r="AQ20" s="1" t="s">
        <v>103</v>
      </c>
      <c r="AR20" s="3" t="s">
        <v>296</v>
      </c>
      <c r="AS20" s="1" t="s">
        <v>83</v>
      </c>
      <c r="AT20" s="1" t="s">
        <v>84</v>
      </c>
    </row>
    <row r="21" spans="1:46" ht="19.899999999999999" customHeight="1" x14ac:dyDescent="0.25">
      <c r="A21" s="1" t="s">
        <v>297</v>
      </c>
      <c r="B21" s="1"/>
      <c r="C21" s="1" t="s">
        <v>48</v>
      </c>
      <c r="D21" s="1" t="s">
        <v>298</v>
      </c>
      <c r="E21" s="1" t="s">
        <v>87</v>
      </c>
      <c r="F21" s="1" t="s">
        <v>108</v>
      </c>
      <c r="G21" s="2">
        <v>10186</v>
      </c>
      <c r="H21" s="1" t="s">
        <v>299</v>
      </c>
      <c r="I21" s="1" t="s">
        <v>300</v>
      </c>
      <c r="J21" s="1" t="s">
        <v>301</v>
      </c>
      <c r="K21" s="1" t="s">
        <v>302</v>
      </c>
      <c r="L21" s="1" t="s">
        <v>55</v>
      </c>
      <c r="M21" s="1" t="s">
        <v>56</v>
      </c>
      <c r="N21" s="1" t="s">
        <v>303</v>
      </c>
      <c r="O21" s="1" t="s">
        <v>304</v>
      </c>
      <c r="P21" s="1" t="s">
        <v>305</v>
      </c>
      <c r="Q21" s="1" t="s">
        <v>60</v>
      </c>
      <c r="R21" s="1" t="s">
        <v>115</v>
      </c>
      <c r="S21" s="1" t="s">
        <v>306</v>
      </c>
      <c r="T21" t="str">
        <f t="shared" si="0"/>
        <v>HQ-smallbusiness@mail.nasa.gov</v>
      </c>
      <c r="U21" s="1" t="s">
        <v>119</v>
      </c>
      <c r="V21" s="1" t="s">
        <v>95</v>
      </c>
      <c r="W21" s="1" t="s">
        <v>66</v>
      </c>
      <c r="X21" s="1" t="s">
        <v>96</v>
      </c>
      <c r="Y21" s="1" t="s">
        <v>307</v>
      </c>
      <c r="Z21" s="1" t="s">
        <v>115</v>
      </c>
      <c r="AA21" s="1" t="s">
        <v>115</v>
      </c>
      <c r="AB21" s="1" t="s">
        <v>87</v>
      </c>
      <c r="AC21" s="1" t="s">
        <v>167</v>
      </c>
      <c r="AD21" s="3"/>
      <c r="AE21" s="1" t="s">
        <v>96</v>
      </c>
      <c r="AF21" s="1"/>
      <c r="AG21" s="1" t="s">
        <v>74</v>
      </c>
      <c r="AH21" s="1"/>
      <c r="AI21" s="1" t="s">
        <v>143</v>
      </c>
      <c r="AJ21" s="1" t="s">
        <v>94</v>
      </c>
      <c r="AK21" s="1" t="s">
        <v>103</v>
      </c>
      <c r="AL21" s="1" t="s">
        <v>68</v>
      </c>
      <c r="AM21" s="1" t="s">
        <v>133</v>
      </c>
      <c r="AN21" s="1" t="s">
        <v>115</v>
      </c>
      <c r="AO21" s="1" t="s">
        <v>167</v>
      </c>
      <c r="AP21" s="1"/>
      <c r="AQ21" s="1"/>
      <c r="AR21" s="3" t="s">
        <v>308</v>
      </c>
      <c r="AS21" s="1" t="s">
        <v>83</v>
      </c>
      <c r="AT21" s="1" t="s">
        <v>84</v>
      </c>
    </row>
    <row r="22" spans="1:46" ht="19.899999999999999" customHeight="1" x14ac:dyDescent="0.25">
      <c r="A22" s="1" t="s">
        <v>309</v>
      </c>
      <c r="B22" s="1" t="s">
        <v>310</v>
      </c>
      <c r="C22" s="1" t="s">
        <v>48</v>
      </c>
      <c r="D22" s="1" t="s">
        <v>170</v>
      </c>
      <c r="E22" s="1" t="s">
        <v>170</v>
      </c>
      <c r="F22" s="1" t="s">
        <v>171</v>
      </c>
      <c r="G22" s="2">
        <v>9928</v>
      </c>
      <c r="H22" s="1" t="s">
        <v>311</v>
      </c>
      <c r="I22" s="1" t="s">
        <v>312</v>
      </c>
      <c r="J22" s="1" t="s">
        <v>313</v>
      </c>
      <c r="K22" s="1" t="s">
        <v>153</v>
      </c>
      <c r="L22" s="1" t="s">
        <v>55</v>
      </c>
      <c r="M22" s="1" t="s">
        <v>314</v>
      </c>
      <c r="N22" s="1" t="s">
        <v>315</v>
      </c>
      <c r="O22" s="1" t="s">
        <v>316</v>
      </c>
      <c r="P22" s="1" t="s">
        <v>317</v>
      </c>
      <c r="Q22" s="1" t="s">
        <v>318</v>
      </c>
      <c r="R22" s="1" t="s">
        <v>61</v>
      </c>
      <c r="S22" s="1" t="s">
        <v>319</v>
      </c>
      <c r="T22" t="str">
        <f t="shared" si="0"/>
        <v>NSSC-smallbusiness@mail.nasa.gov</v>
      </c>
      <c r="U22" s="1" t="s">
        <v>64</v>
      </c>
      <c r="V22" s="1" t="s">
        <v>143</v>
      </c>
      <c r="W22" s="1" t="s">
        <v>129</v>
      </c>
      <c r="X22" s="1" t="s">
        <v>67</v>
      </c>
      <c r="Y22" s="1" t="s">
        <v>68</v>
      </c>
      <c r="Z22" s="1" t="s">
        <v>115</v>
      </c>
      <c r="AA22" s="1" t="s">
        <v>165</v>
      </c>
      <c r="AB22" s="1" t="s">
        <v>320</v>
      </c>
      <c r="AC22" s="1" t="s">
        <v>131</v>
      </c>
      <c r="AD22" s="3" t="s">
        <v>321</v>
      </c>
      <c r="AE22" s="1"/>
      <c r="AF22" s="1"/>
      <c r="AG22" s="1" t="s">
        <v>74</v>
      </c>
      <c r="AH22" s="1" t="s">
        <v>322</v>
      </c>
      <c r="AI22" s="1" t="s">
        <v>65</v>
      </c>
      <c r="AJ22" s="1" t="s">
        <v>64</v>
      </c>
      <c r="AK22" s="1" t="s">
        <v>103</v>
      </c>
      <c r="AL22" s="1" t="s">
        <v>323</v>
      </c>
      <c r="AM22" s="1" t="s">
        <v>77</v>
      </c>
      <c r="AN22" s="1" t="s">
        <v>115</v>
      </c>
      <c r="AO22" s="1" t="s">
        <v>74</v>
      </c>
      <c r="AP22" s="1"/>
      <c r="AQ22" s="1"/>
      <c r="AR22" s="3" t="s">
        <v>324</v>
      </c>
      <c r="AS22" s="1" t="s">
        <v>83</v>
      </c>
      <c r="AT22" s="1" t="s">
        <v>84</v>
      </c>
    </row>
    <row r="23" spans="1:46" ht="19.899999999999999" customHeight="1" x14ac:dyDescent="0.25">
      <c r="A23" s="1" t="s">
        <v>325</v>
      </c>
      <c r="B23" s="1"/>
      <c r="C23" s="1" t="s">
        <v>48</v>
      </c>
      <c r="D23" s="1" t="s">
        <v>86</v>
      </c>
      <c r="E23" s="1" t="s">
        <v>87</v>
      </c>
      <c r="F23" s="1" t="s">
        <v>108</v>
      </c>
      <c r="G23" s="2">
        <v>10025</v>
      </c>
      <c r="H23" s="1" t="s">
        <v>326</v>
      </c>
      <c r="I23" s="1" t="s">
        <v>327</v>
      </c>
      <c r="J23" s="1" t="s">
        <v>328</v>
      </c>
      <c r="K23" s="1" t="s">
        <v>153</v>
      </c>
      <c r="L23" s="1" t="s">
        <v>55</v>
      </c>
      <c r="M23" s="1" t="s">
        <v>329</v>
      </c>
      <c r="N23" s="1" t="s">
        <v>330</v>
      </c>
      <c r="O23" s="1" t="s">
        <v>331</v>
      </c>
      <c r="P23" s="1" t="s">
        <v>112</v>
      </c>
      <c r="Q23" s="1" t="s">
        <v>332</v>
      </c>
      <c r="R23" s="1" t="s">
        <v>61</v>
      </c>
      <c r="S23" s="1" t="s">
        <v>319</v>
      </c>
      <c r="T23" t="str">
        <f t="shared" si="0"/>
        <v>SSC-smallbusiness@mail.nasa.gov</v>
      </c>
      <c r="U23" s="1" t="s">
        <v>119</v>
      </c>
      <c r="V23" s="1" t="s">
        <v>114</v>
      </c>
      <c r="W23" s="1" t="s">
        <v>129</v>
      </c>
      <c r="X23" s="1" t="s">
        <v>96</v>
      </c>
      <c r="Y23" s="1" t="s">
        <v>333</v>
      </c>
      <c r="Z23" s="1" t="s">
        <v>115</v>
      </c>
      <c r="AA23" s="1" t="s">
        <v>130</v>
      </c>
      <c r="AB23" s="1" t="s">
        <v>146</v>
      </c>
      <c r="AC23" s="1" t="s">
        <v>334</v>
      </c>
      <c r="AD23" s="3" t="s">
        <v>335</v>
      </c>
      <c r="AE23" s="1"/>
      <c r="AF23" s="1"/>
      <c r="AG23" s="1" t="s">
        <v>74</v>
      </c>
      <c r="AH23" s="1"/>
      <c r="AI23" s="1" t="s">
        <v>115</v>
      </c>
      <c r="AJ23" s="1" t="s">
        <v>94</v>
      </c>
      <c r="AK23" s="1" t="s">
        <v>76</v>
      </c>
      <c r="AL23" s="1" t="s">
        <v>197</v>
      </c>
      <c r="AM23" s="1" t="s">
        <v>115</v>
      </c>
      <c r="AN23" s="1" t="s">
        <v>105</v>
      </c>
      <c r="AO23" s="1" t="s">
        <v>74</v>
      </c>
      <c r="AP23" s="1"/>
      <c r="AQ23" s="1"/>
      <c r="AR23" s="3" t="s">
        <v>336</v>
      </c>
      <c r="AS23" s="1" t="s">
        <v>83</v>
      </c>
      <c r="AT23" s="1" t="s">
        <v>84</v>
      </c>
    </row>
    <row r="24" spans="1:46" ht="19.899999999999999" customHeight="1" x14ac:dyDescent="0.25">
      <c r="A24" s="1" t="s">
        <v>309</v>
      </c>
      <c r="B24" s="1" t="s">
        <v>337</v>
      </c>
      <c r="C24" s="1" t="s">
        <v>48</v>
      </c>
      <c r="D24" s="1" t="s">
        <v>86</v>
      </c>
      <c r="E24" s="1" t="s">
        <v>87</v>
      </c>
      <c r="F24" s="1" t="s">
        <v>108</v>
      </c>
      <c r="G24" s="2">
        <v>10093</v>
      </c>
      <c r="H24" s="1" t="s">
        <v>338</v>
      </c>
      <c r="I24" s="1" t="s">
        <v>339</v>
      </c>
      <c r="J24" s="1" t="s">
        <v>340</v>
      </c>
      <c r="K24" s="1" t="s">
        <v>153</v>
      </c>
      <c r="L24" s="1" t="s">
        <v>55</v>
      </c>
      <c r="M24" s="1" t="s">
        <v>56</v>
      </c>
      <c r="N24" s="1" t="s">
        <v>341</v>
      </c>
      <c r="O24" s="1" t="s">
        <v>342</v>
      </c>
      <c r="P24" s="1" t="s">
        <v>305</v>
      </c>
      <c r="Q24" s="1" t="s">
        <v>60</v>
      </c>
      <c r="R24" s="1" t="s">
        <v>61</v>
      </c>
      <c r="S24" s="1" t="s">
        <v>319</v>
      </c>
      <c r="T24" t="str">
        <f t="shared" si="0"/>
        <v>NSSC-smallbusiness@mail.nasa.gov</v>
      </c>
      <c r="U24" s="1" t="s">
        <v>64</v>
      </c>
      <c r="V24" s="1" t="s">
        <v>65</v>
      </c>
      <c r="W24" s="1" t="s">
        <v>129</v>
      </c>
      <c r="X24" s="1" t="s">
        <v>343</v>
      </c>
      <c r="Y24" s="1" t="s">
        <v>68</v>
      </c>
      <c r="Z24" s="1" t="s">
        <v>69</v>
      </c>
      <c r="AA24" s="1" t="s">
        <v>130</v>
      </c>
      <c r="AB24" s="1" t="s">
        <v>87</v>
      </c>
      <c r="AC24" s="1" t="s">
        <v>72</v>
      </c>
      <c r="AD24" s="3" t="s">
        <v>344</v>
      </c>
      <c r="AE24" s="1"/>
      <c r="AF24" s="1"/>
      <c r="AG24" s="1" t="s">
        <v>74</v>
      </c>
      <c r="AH24" s="1"/>
      <c r="AI24" s="1" t="s">
        <v>143</v>
      </c>
      <c r="AJ24" s="1" t="s">
        <v>75</v>
      </c>
      <c r="AK24" s="1" t="s">
        <v>345</v>
      </c>
      <c r="AL24" s="1" t="s">
        <v>346</v>
      </c>
      <c r="AM24" s="1" t="s">
        <v>77</v>
      </c>
      <c r="AN24" s="1" t="s">
        <v>347</v>
      </c>
      <c r="AO24" s="1" t="s">
        <v>74</v>
      </c>
      <c r="AP24" s="1"/>
      <c r="AQ24" s="1"/>
      <c r="AR24" s="3" t="s">
        <v>348</v>
      </c>
      <c r="AS24" s="1" t="s">
        <v>83</v>
      </c>
      <c r="AT24" s="1" t="s">
        <v>84</v>
      </c>
    </row>
    <row r="25" spans="1:46" ht="19.899999999999999" customHeight="1" x14ac:dyDescent="0.25">
      <c r="A25" s="1" t="s">
        <v>309</v>
      </c>
      <c r="B25" s="1" t="s">
        <v>337</v>
      </c>
      <c r="C25" s="1" t="s">
        <v>48</v>
      </c>
      <c r="D25" s="1" t="s">
        <v>86</v>
      </c>
      <c r="E25" s="1" t="s">
        <v>87</v>
      </c>
      <c r="F25" s="1" t="s">
        <v>108</v>
      </c>
      <c r="G25" s="2">
        <v>10096</v>
      </c>
      <c r="H25" s="1" t="s">
        <v>349</v>
      </c>
      <c r="I25" s="1" t="s">
        <v>339</v>
      </c>
      <c r="J25" s="1" t="s">
        <v>340</v>
      </c>
      <c r="K25" s="1" t="s">
        <v>153</v>
      </c>
      <c r="L25" s="1" t="s">
        <v>55</v>
      </c>
      <c r="M25" s="1" t="s">
        <v>56</v>
      </c>
      <c r="N25" s="1" t="s">
        <v>341</v>
      </c>
      <c r="O25" s="1" t="s">
        <v>342</v>
      </c>
      <c r="P25" s="1" t="s">
        <v>305</v>
      </c>
      <c r="Q25" s="1" t="s">
        <v>60</v>
      </c>
      <c r="R25" s="1" t="s">
        <v>61</v>
      </c>
      <c r="S25" s="1" t="s">
        <v>319</v>
      </c>
      <c r="T25" t="str">
        <f t="shared" si="0"/>
        <v>NSSC-smallbusiness@mail.nasa.gov</v>
      </c>
      <c r="U25" s="1" t="s">
        <v>94</v>
      </c>
      <c r="V25" s="1" t="s">
        <v>65</v>
      </c>
      <c r="W25" s="1" t="s">
        <v>129</v>
      </c>
      <c r="X25" s="1" t="s">
        <v>144</v>
      </c>
      <c r="Y25" s="1"/>
      <c r="Z25" s="1" t="s">
        <v>69</v>
      </c>
      <c r="AA25" s="1" t="s">
        <v>130</v>
      </c>
      <c r="AB25" s="1" t="s">
        <v>87</v>
      </c>
      <c r="AC25" s="1" t="s">
        <v>247</v>
      </c>
      <c r="AD25" s="3" t="s">
        <v>344</v>
      </c>
      <c r="AE25" s="1"/>
      <c r="AF25" s="1"/>
      <c r="AG25" s="1" t="s">
        <v>74</v>
      </c>
      <c r="AH25" s="1"/>
      <c r="AI25" s="1" t="s">
        <v>143</v>
      </c>
      <c r="AJ25" s="1" t="s">
        <v>64</v>
      </c>
      <c r="AK25" s="1" t="s">
        <v>80</v>
      </c>
      <c r="AL25" s="1" t="s">
        <v>346</v>
      </c>
      <c r="AM25" s="1"/>
      <c r="AN25" s="1" t="s">
        <v>347</v>
      </c>
      <c r="AO25" s="1" t="s">
        <v>74</v>
      </c>
      <c r="AP25" s="1"/>
      <c r="AQ25" s="1"/>
      <c r="AR25" s="3" t="s">
        <v>350</v>
      </c>
      <c r="AS25" s="1" t="s">
        <v>83</v>
      </c>
      <c r="AT25" s="1" t="s">
        <v>84</v>
      </c>
    </row>
    <row r="26" spans="1:46" ht="19.899999999999999" customHeight="1" x14ac:dyDescent="0.25">
      <c r="A26" s="1" t="s">
        <v>309</v>
      </c>
      <c r="B26" s="1" t="s">
        <v>337</v>
      </c>
      <c r="C26" s="1" t="s">
        <v>48</v>
      </c>
      <c r="D26" s="1" t="s">
        <v>86</v>
      </c>
      <c r="E26" s="1" t="s">
        <v>87</v>
      </c>
      <c r="F26" s="1" t="s">
        <v>108</v>
      </c>
      <c r="G26" s="2">
        <v>10097</v>
      </c>
      <c r="H26" s="1" t="s">
        <v>351</v>
      </c>
      <c r="I26" s="1" t="s">
        <v>339</v>
      </c>
      <c r="J26" s="1" t="s">
        <v>340</v>
      </c>
      <c r="K26" s="1" t="s">
        <v>153</v>
      </c>
      <c r="L26" s="1" t="s">
        <v>55</v>
      </c>
      <c r="M26" s="1" t="s">
        <v>56</v>
      </c>
      <c r="N26" s="1" t="s">
        <v>215</v>
      </c>
      <c r="O26" s="1" t="s">
        <v>216</v>
      </c>
      <c r="P26" s="1" t="s">
        <v>305</v>
      </c>
      <c r="Q26" s="1" t="s">
        <v>60</v>
      </c>
      <c r="R26" s="1" t="s">
        <v>61</v>
      </c>
      <c r="S26" s="1" t="s">
        <v>319</v>
      </c>
      <c r="T26" t="str">
        <f t="shared" si="0"/>
        <v>NSSC-smallbusiness@mail.nasa.gov</v>
      </c>
      <c r="U26" s="1" t="s">
        <v>94</v>
      </c>
      <c r="V26" s="1" t="s">
        <v>95</v>
      </c>
      <c r="W26" s="1" t="s">
        <v>129</v>
      </c>
      <c r="X26" s="1" t="s">
        <v>352</v>
      </c>
      <c r="Y26" s="1"/>
      <c r="Z26" s="1" t="s">
        <v>69</v>
      </c>
      <c r="AA26" s="1" t="s">
        <v>130</v>
      </c>
      <c r="AB26" s="1" t="s">
        <v>87</v>
      </c>
      <c r="AC26" s="1" t="s">
        <v>101</v>
      </c>
      <c r="AD26" s="3" t="s">
        <v>344</v>
      </c>
      <c r="AE26" s="1"/>
      <c r="AF26" s="1"/>
      <c r="AG26" s="1" t="s">
        <v>74</v>
      </c>
      <c r="AH26" s="1"/>
      <c r="AI26" s="1" t="s">
        <v>143</v>
      </c>
      <c r="AJ26" s="1" t="s">
        <v>64</v>
      </c>
      <c r="AK26" s="1" t="s">
        <v>80</v>
      </c>
      <c r="AL26" s="1" t="s">
        <v>346</v>
      </c>
      <c r="AM26" s="1" t="s">
        <v>182</v>
      </c>
      <c r="AN26" s="1" t="s">
        <v>347</v>
      </c>
      <c r="AO26" s="1" t="s">
        <v>74</v>
      </c>
      <c r="AP26" s="1"/>
      <c r="AQ26" s="1"/>
      <c r="AR26" s="3" t="s">
        <v>353</v>
      </c>
      <c r="AS26" s="1" t="s">
        <v>83</v>
      </c>
      <c r="AT26" s="1" t="s">
        <v>84</v>
      </c>
    </row>
    <row r="27" spans="1:46" ht="19.899999999999999" customHeight="1" x14ac:dyDescent="0.25">
      <c r="A27" s="1" t="s">
        <v>309</v>
      </c>
      <c r="B27" s="1" t="s">
        <v>337</v>
      </c>
      <c r="C27" s="1" t="s">
        <v>48</v>
      </c>
      <c r="D27" s="1" t="s">
        <v>86</v>
      </c>
      <c r="E27" s="1" t="s">
        <v>87</v>
      </c>
      <c r="F27" s="1" t="s">
        <v>108</v>
      </c>
      <c r="G27" s="2">
        <v>10117</v>
      </c>
      <c r="H27" s="1" t="s">
        <v>354</v>
      </c>
      <c r="I27" s="1" t="s">
        <v>339</v>
      </c>
      <c r="J27" s="1" t="s">
        <v>340</v>
      </c>
      <c r="K27" s="1" t="s">
        <v>153</v>
      </c>
      <c r="L27" s="1" t="s">
        <v>55</v>
      </c>
      <c r="M27" s="1" t="s">
        <v>56</v>
      </c>
      <c r="N27" s="1" t="s">
        <v>215</v>
      </c>
      <c r="O27" s="1" t="s">
        <v>216</v>
      </c>
      <c r="P27" s="1" t="s">
        <v>305</v>
      </c>
      <c r="Q27" s="1" t="s">
        <v>60</v>
      </c>
      <c r="R27" s="1" t="s">
        <v>61</v>
      </c>
      <c r="S27" s="1" t="s">
        <v>319</v>
      </c>
      <c r="T27" t="str">
        <f t="shared" si="0"/>
        <v>NSSC-smallbusiness@mail.nasa.gov</v>
      </c>
      <c r="U27" s="1" t="s">
        <v>64</v>
      </c>
      <c r="V27" s="1" t="s">
        <v>65</v>
      </c>
      <c r="W27" s="1" t="s">
        <v>129</v>
      </c>
      <c r="X27" s="1" t="s">
        <v>352</v>
      </c>
      <c r="Y27" s="1" t="s">
        <v>68</v>
      </c>
      <c r="Z27" s="1" t="s">
        <v>69</v>
      </c>
      <c r="AA27" s="1" t="s">
        <v>130</v>
      </c>
      <c r="AB27" s="1" t="s">
        <v>87</v>
      </c>
      <c r="AC27" s="1" t="s">
        <v>72</v>
      </c>
      <c r="AD27" s="3" t="s">
        <v>344</v>
      </c>
      <c r="AE27" s="1"/>
      <c r="AF27" s="1"/>
      <c r="AG27" s="1" t="s">
        <v>74</v>
      </c>
      <c r="AH27" s="1"/>
      <c r="AI27" s="1" t="s">
        <v>143</v>
      </c>
      <c r="AJ27" s="1" t="s">
        <v>75</v>
      </c>
      <c r="AK27" s="1" t="s">
        <v>80</v>
      </c>
      <c r="AL27" s="1" t="s">
        <v>148</v>
      </c>
      <c r="AM27" s="1"/>
      <c r="AN27" s="1" t="s">
        <v>105</v>
      </c>
      <c r="AO27" s="1" t="s">
        <v>74</v>
      </c>
      <c r="AP27" s="1"/>
      <c r="AQ27" s="1"/>
      <c r="AR27" s="3" t="s">
        <v>355</v>
      </c>
      <c r="AS27" s="1" t="s">
        <v>83</v>
      </c>
      <c r="AT27" s="1" t="s">
        <v>84</v>
      </c>
    </row>
    <row r="28" spans="1:46" ht="19.899999999999999" customHeight="1" x14ac:dyDescent="0.25">
      <c r="A28" s="1" t="s">
        <v>325</v>
      </c>
      <c r="B28" s="1"/>
      <c r="C28" s="1" t="s">
        <v>48</v>
      </c>
      <c r="D28" s="1" t="s">
        <v>49</v>
      </c>
      <c r="E28" s="1" t="s">
        <v>49</v>
      </c>
      <c r="F28" s="1" t="s">
        <v>49</v>
      </c>
      <c r="G28" s="2">
        <v>10126</v>
      </c>
      <c r="H28" s="1" t="s">
        <v>356</v>
      </c>
      <c r="I28" s="1" t="s">
        <v>357</v>
      </c>
      <c r="J28" s="1" t="s">
        <v>358</v>
      </c>
      <c r="K28" s="1" t="s">
        <v>359</v>
      </c>
      <c r="L28" s="1" t="s">
        <v>55</v>
      </c>
      <c r="M28" s="1" t="s">
        <v>360</v>
      </c>
      <c r="N28" s="1" t="s">
        <v>361</v>
      </c>
      <c r="O28" s="1" t="s">
        <v>362</v>
      </c>
      <c r="P28" s="1" t="s">
        <v>246</v>
      </c>
      <c r="Q28" s="1" t="s">
        <v>363</v>
      </c>
      <c r="R28" s="1" t="s">
        <v>61</v>
      </c>
      <c r="S28" s="1" t="s">
        <v>319</v>
      </c>
      <c r="T28" t="str">
        <f t="shared" si="0"/>
        <v>SSC-smallbusiness@mail.nasa.gov</v>
      </c>
      <c r="U28" s="1" t="s">
        <v>64</v>
      </c>
      <c r="V28" s="1" t="s">
        <v>65</v>
      </c>
      <c r="W28" s="1" t="s">
        <v>129</v>
      </c>
      <c r="X28" s="1" t="s">
        <v>352</v>
      </c>
      <c r="Y28" s="1" t="s">
        <v>364</v>
      </c>
      <c r="Z28" s="1" t="s">
        <v>98</v>
      </c>
      <c r="AA28" s="1" t="s">
        <v>130</v>
      </c>
      <c r="AB28" s="1" t="s">
        <v>87</v>
      </c>
      <c r="AC28" s="1" t="s">
        <v>72</v>
      </c>
      <c r="AD28" s="3" t="s">
        <v>365</v>
      </c>
      <c r="AE28" s="1" t="s">
        <v>238</v>
      </c>
      <c r="AF28" s="1" t="s">
        <v>366</v>
      </c>
      <c r="AG28" s="1" t="s">
        <v>74</v>
      </c>
      <c r="AH28" s="1"/>
      <c r="AI28" s="1" t="s">
        <v>115</v>
      </c>
      <c r="AJ28" s="1" t="s">
        <v>64</v>
      </c>
      <c r="AK28" s="1" t="s">
        <v>80</v>
      </c>
      <c r="AL28" s="1" t="s">
        <v>295</v>
      </c>
      <c r="AM28" s="1" t="s">
        <v>182</v>
      </c>
      <c r="AN28" s="1" t="s">
        <v>367</v>
      </c>
      <c r="AO28" s="1" t="s">
        <v>79</v>
      </c>
      <c r="AP28" s="1" t="s">
        <v>80</v>
      </c>
      <c r="AQ28" s="1" t="s">
        <v>80</v>
      </c>
      <c r="AR28" s="3" t="s">
        <v>368</v>
      </c>
      <c r="AS28" s="1" t="s">
        <v>83</v>
      </c>
      <c r="AT28" s="1" t="s">
        <v>84</v>
      </c>
    </row>
    <row r="29" spans="1:46" ht="19.899999999999999" customHeight="1" x14ac:dyDescent="0.25">
      <c r="A29" s="1" t="s">
        <v>325</v>
      </c>
      <c r="B29" s="1"/>
      <c r="C29" s="1" t="s">
        <v>48</v>
      </c>
      <c r="D29" s="1" t="s">
        <v>86</v>
      </c>
      <c r="E29" s="1" t="s">
        <v>87</v>
      </c>
      <c r="F29" s="1" t="s">
        <v>108</v>
      </c>
      <c r="G29" s="2">
        <v>10141</v>
      </c>
      <c r="H29" s="1" t="s">
        <v>369</v>
      </c>
      <c r="I29" s="1" t="s">
        <v>370</v>
      </c>
      <c r="J29" s="1" t="s">
        <v>371</v>
      </c>
      <c r="K29" s="1" t="s">
        <v>359</v>
      </c>
      <c r="L29" s="1" t="s">
        <v>55</v>
      </c>
      <c r="M29" s="1" t="s">
        <v>372</v>
      </c>
      <c r="N29" s="1" t="s">
        <v>373</v>
      </c>
      <c r="O29" s="1" t="s">
        <v>374</v>
      </c>
      <c r="P29" s="1" t="s">
        <v>375</v>
      </c>
      <c r="Q29" s="1" t="s">
        <v>376</v>
      </c>
      <c r="R29" s="1" t="s">
        <v>61</v>
      </c>
      <c r="S29" s="1" t="s">
        <v>319</v>
      </c>
      <c r="T29" t="str">
        <f t="shared" si="0"/>
        <v>SSC-smallbusiness@mail.nasa.gov</v>
      </c>
      <c r="U29" s="1" t="s">
        <v>64</v>
      </c>
      <c r="V29" s="1" t="s">
        <v>143</v>
      </c>
      <c r="W29" s="1" t="s">
        <v>129</v>
      </c>
      <c r="X29" s="1" t="s">
        <v>366</v>
      </c>
      <c r="Y29" s="1" t="s">
        <v>364</v>
      </c>
      <c r="Z29" s="1" t="s">
        <v>115</v>
      </c>
      <c r="AA29" s="1" t="s">
        <v>130</v>
      </c>
      <c r="AB29" s="1" t="s">
        <v>87</v>
      </c>
      <c r="AC29" s="1" t="s">
        <v>167</v>
      </c>
      <c r="AD29" s="3" t="s">
        <v>377</v>
      </c>
      <c r="AE29" s="1"/>
      <c r="AF29" s="1"/>
      <c r="AG29" s="1" t="s">
        <v>74</v>
      </c>
      <c r="AH29" s="1"/>
      <c r="AI29" s="1" t="s">
        <v>115</v>
      </c>
      <c r="AJ29" s="1" t="s">
        <v>64</v>
      </c>
      <c r="AK29" s="1" t="s">
        <v>345</v>
      </c>
      <c r="AL29" s="1" t="s">
        <v>346</v>
      </c>
      <c r="AM29" s="1" t="s">
        <v>182</v>
      </c>
      <c r="AN29" s="1" t="s">
        <v>115</v>
      </c>
      <c r="AO29" s="1" t="s">
        <v>74</v>
      </c>
      <c r="AP29" s="1"/>
      <c r="AQ29" s="1"/>
      <c r="AR29" s="3" t="s">
        <v>378</v>
      </c>
      <c r="AS29" s="1" t="s">
        <v>83</v>
      </c>
      <c r="AT29" s="1" t="s">
        <v>84</v>
      </c>
    </row>
    <row r="30" spans="1:46" ht="19.899999999999999" customHeight="1" x14ac:dyDescent="0.25">
      <c r="A30" s="1" t="s">
        <v>325</v>
      </c>
      <c r="B30" s="1"/>
      <c r="C30" s="1" t="s">
        <v>48</v>
      </c>
      <c r="D30" s="1" t="s">
        <v>86</v>
      </c>
      <c r="E30" s="1" t="s">
        <v>87</v>
      </c>
      <c r="F30" s="1" t="s">
        <v>108</v>
      </c>
      <c r="G30" s="2">
        <v>10142</v>
      </c>
      <c r="H30" s="1" t="s">
        <v>379</v>
      </c>
      <c r="I30" s="1" t="s">
        <v>370</v>
      </c>
      <c r="J30" s="1" t="s">
        <v>371</v>
      </c>
      <c r="K30" s="1" t="s">
        <v>359</v>
      </c>
      <c r="L30" s="1" t="s">
        <v>55</v>
      </c>
      <c r="M30" s="1" t="s">
        <v>380</v>
      </c>
      <c r="N30" s="1" t="s">
        <v>381</v>
      </c>
      <c r="O30" s="1" t="s">
        <v>382</v>
      </c>
      <c r="P30" s="1" t="s">
        <v>112</v>
      </c>
      <c r="Q30" s="1" t="s">
        <v>383</v>
      </c>
      <c r="R30" s="1" t="s">
        <v>61</v>
      </c>
      <c r="S30" s="1" t="s">
        <v>319</v>
      </c>
      <c r="T30" t="str">
        <f t="shared" si="0"/>
        <v>SSC-smallbusiness@mail.nasa.gov</v>
      </c>
      <c r="U30" s="1" t="s">
        <v>64</v>
      </c>
      <c r="V30" s="1" t="s">
        <v>143</v>
      </c>
      <c r="W30" s="1" t="s">
        <v>129</v>
      </c>
      <c r="X30" s="1" t="s">
        <v>366</v>
      </c>
      <c r="Y30" s="1" t="s">
        <v>364</v>
      </c>
      <c r="Z30" s="1" t="s">
        <v>115</v>
      </c>
      <c r="AA30" s="1" t="s">
        <v>130</v>
      </c>
      <c r="AB30" s="1" t="s">
        <v>146</v>
      </c>
      <c r="AC30" s="1" t="s">
        <v>72</v>
      </c>
      <c r="AD30" s="3" t="s">
        <v>384</v>
      </c>
      <c r="AE30" s="1"/>
      <c r="AF30" s="1"/>
      <c r="AG30" s="1" t="s">
        <v>74</v>
      </c>
      <c r="AH30" s="1"/>
      <c r="AI30" s="1" t="s">
        <v>115</v>
      </c>
      <c r="AJ30" s="1" t="s">
        <v>64</v>
      </c>
      <c r="AK30" s="1" t="s">
        <v>345</v>
      </c>
      <c r="AL30" s="1" t="s">
        <v>346</v>
      </c>
      <c r="AM30" s="1"/>
      <c r="AN30" s="1" t="s">
        <v>115</v>
      </c>
      <c r="AO30" s="1" t="s">
        <v>74</v>
      </c>
      <c r="AP30" s="1"/>
      <c r="AQ30" s="1"/>
      <c r="AR30" s="3" t="s">
        <v>385</v>
      </c>
      <c r="AS30" s="1" t="s">
        <v>83</v>
      </c>
      <c r="AT30" s="1" t="s">
        <v>84</v>
      </c>
    </row>
    <row r="31" spans="1:46" ht="19.899999999999999" customHeight="1" x14ac:dyDescent="0.25">
      <c r="A31" s="1" t="s">
        <v>325</v>
      </c>
      <c r="B31" s="1" t="s">
        <v>386</v>
      </c>
      <c r="C31" s="1" t="s">
        <v>48</v>
      </c>
      <c r="D31" s="1" t="s">
        <v>170</v>
      </c>
      <c r="E31" s="1" t="s">
        <v>170</v>
      </c>
      <c r="F31" s="1" t="s">
        <v>108</v>
      </c>
      <c r="G31" s="2">
        <v>10144</v>
      </c>
      <c r="H31" s="1" t="s">
        <v>387</v>
      </c>
      <c r="I31" s="1" t="s">
        <v>388</v>
      </c>
      <c r="J31" s="1" t="s">
        <v>371</v>
      </c>
      <c r="K31" s="1"/>
      <c r="L31" s="1"/>
      <c r="M31" s="1" t="s">
        <v>360</v>
      </c>
      <c r="N31" s="1" t="s">
        <v>389</v>
      </c>
      <c r="O31" s="1" t="s">
        <v>390</v>
      </c>
      <c r="P31" s="1" t="s">
        <v>112</v>
      </c>
      <c r="Q31" s="1" t="s">
        <v>363</v>
      </c>
      <c r="R31" s="1"/>
      <c r="S31" s="1" t="s">
        <v>319</v>
      </c>
      <c r="T31" t="str">
        <f t="shared" si="0"/>
        <v>SSC-smallbusiness@mail.nasa.gov</v>
      </c>
      <c r="U31" s="1"/>
      <c r="V31" s="1"/>
      <c r="W31" s="1" t="s">
        <v>129</v>
      </c>
      <c r="X31" s="1"/>
      <c r="Y31" s="1" t="s">
        <v>364</v>
      </c>
      <c r="Z31" s="1"/>
      <c r="AA31" s="1"/>
      <c r="AB31" s="1"/>
      <c r="AC31" s="1"/>
      <c r="AD31" s="3" t="s">
        <v>391</v>
      </c>
      <c r="AE31" s="1"/>
      <c r="AF31" s="1"/>
      <c r="AG31" s="1" t="s">
        <v>74</v>
      </c>
      <c r="AH31" s="1"/>
      <c r="AI31" s="1"/>
      <c r="AJ31" s="1"/>
      <c r="AK31" s="1"/>
      <c r="AL31" s="1" t="s">
        <v>346</v>
      </c>
      <c r="AM31" s="1" t="s">
        <v>182</v>
      </c>
      <c r="AN31" s="1" t="s">
        <v>115</v>
      </c>
      <c r="AO31" s="1"/>
      <c r="AP31" s="1"/>
      <c r="AQ31" s="1"/>
      <c r="AR31" s="3" t="s">
        <v>392</v>
      </c>
      <c r="AS31" s="1" t="s">
        <v>83</v>
      </c>
      <c r="AT31" s="1" t="s">
        <v>84</v>
      </c>
    </row>
    <row r="32" spans="1:46" ht="19.899999999999999" customHeight="1" x14ac:dyDescent="0.25">
      <c r="A32" s="1" t="s">
        <v>309</v>
      </c>
      <c r="B32" s="1"/>
      <c r="C32" s="1" t="s">
        <v>48</v>
      </c>
      <c r="D32" s="1" t="s">
        <v>86</v>
      </c>
      <c r="E32" s="1" t="s">
        <v>87</v>
      </c>
      <c r="F32" s="1" t="s">
        <v>108</v>
      </c>
      <c r="G32" s="2">
        <v>10147</v>
      </c>
      <c r="H32" s="1" t="s">
        <v>393</v>
      </c>
      <c r="I32" s="1" t="s">
        <v>339</v>
      </c>
      <c r="J32" s="1" t="s">
        <v>340</v>
      </c>
      <c r="K32" s="1" t="s">
        <v>153</v>
      </c>
      <c r="L32" s="1" t="s">
        <v>55</v>
      </c>
      <c r="M32" s="1" t="s">
        <v>56</v>
      </c>
      <c r="N32" s="1" t="s">
        <v>341</v>
      </c>
      <c r="O32" s="1" t="s">
        <v>342</v>
      </c>
      <c r="P32" s="1" t="s">
        <v>305</v>
      </c>
      <c r="Q32" s="1" t="s">
        <v>60</v>
      </c>
      <c r="R32" s="1" t="s">
        <v>61</v>
      </c>
      <c r="S32" s="1" t="s">
        <v>319</v>
      </c>
      <c r="T32" t="str">
        <f t="shared" si="0"/>
        <v>NSSC-smallbusiness@mail.nasa.gov</v>
      </c>
      <c r="U32" s="1" t="s">
        <v>64</v>
      </c>
      <c r="V32" s="1" t="s">
        <v>143</v>
      </c>
      <c r="W32" s="1" t="s">
        <v>129</v>
      </c>
      <c r="X32" s="1" t="s">
        <v>118</v>
      </c>
      <c r="Y32" s="1" t="s">
        <v>68</v>
      </c>
      <c r="Z32" s="1" t="s">
        <v>69</v>
      </c>
      <c r="AA32" s="1" t="s">
        <v>130</v>
      </c>
      <c r="AB32" s="1" t="s">
        <v>87</v>
      </c>
      <c r="AC32" s="1" t="s">
        <v>230</v>
      </c>
      <c r="AD32" s="3" t="s">
        <v>344</v>
      </c>
      <c r="AE32" s="1"/>
      <c r="AF32" s="1"/>
      <c r="AG32" s="1" t="s">
        <v>74</v>
      </c>
      <c r="AH32" s="1"/>
      <c r="AI32" s="1" t="s">
        <v>143</v>
      </c>
      <c r="AJ32" s="1" t="s">
        <v>64</v>
      </c>
      <c r="AK32" s="1" t="s">
        <v>345</v>
      </c>
      <c r="AL32" s="1" t="s">
        <v>346</v>
      </c>
      <c r="AM32" s="1" t="s">
        <v>77</v>
      </c>
      <c r="AN32" s="1" t="s">
        <v>347</v>
      </c>
      <c r="AO32" s="1" t="s">
        <v>74</v>
      </c>
      <c r="AP32" s="1"/>
      <c r="AQ32" s="1"/>
      <c r="AR32" s="3" t="s">
        <v>348</v>
      </c>
      <c r="AS32" s="1" t="s">
        <v>83</v>
      </c>
      <c r="AT32" s="1" t="s">
        <v>84</v>
      </c>
    </row>
    <row r="33" spans="1:46" ht="19.899999999999999" customHeight="1" x14ac:dyDescent="0.25">
      <c r="A33" s="1" t="s">
        <v>309</v>
      </c>
      <c r="B33" s="1" t="s">
        <v>337</v>
      </c>
      <c r="C33" s="1" t="s">
        <v>48</v>
      </c>
      <c r="D33" s="1" t="s">
        <v>86</v>
      </c>
      <c r="E33" s="1" t="s">
        <v>87</v>
      </c>
      <c r="F33" s="1" t="s">
        <v>108</v>
      </c>
      <c r="G33" s="2">
        <v>10148</v>
      </c>
      <c r="H33" s="1" t="s">
        <v>394</v>
      </c>
      <c r="I33" s="1" t="s">
        <v>339</v>
      </c>
      <c r="J33" s="1" t="s">
        <v>340</v>
      </c>
      <c r="K33" s="1" t="s">
        <v>153</v>
      </c>
      <c r="L33" s="1" t="s">
        <v>55</v>
      </c>
      <c r="M33" s="1" t="s">
        <v>56</v>
      </c>
      <c r="N33" s="1" t="s">
        <v>341</v>
      </c>
      <c r="O33" s="1" t="s">
        <v>342</v>
      </c>
      <c r="P33" s="1" t="s">
        <v>305</v>
      </c>
      <c r="Q33" s="1" t="s">
        <v>60</v>
      </c>
      <c r="R33" s="1" t="s">
        <v>61</v>
      </c>
      <c r="S33" s="1" t="s">
        <v>319</v>
      </c>
      <c r="T33" t="str">
        <f t="shared" si="0"/>
        <v>NSSC-smallbusiness@mail.nasa.gov</v>
      </c>
      <c r="U33" s="1" t="s">
        <v>64</v>
      </c>
      <c r="V33" s="1" t="s">
        <v>143</v>
      </c>
      <c r="W33" s="1" t="s">
        <v>129</v>
      </c>
      <c r="X33" s="1" t="s">
        <v>144</v>
      </c>
      <c r="Y33" s="1"/>
      <c r="Z33" s="1" t="s">
        <v>69</v>
      </c>
      <c r="AA33" s="1" t="s">
        <v>130</v>
      </c>
      <c r="AB33" s="1" t="s">
        <v>87</v>
      </c>
      <c r="AC33" s="1" t="s">
        <v>230</v>
      </c>
      <c r="AD33" s="3" t="s">
        <v>344</v>
      </c>
      <c r="AE33" s="1"/>
      <c r="AF33" s="1"/>
      <c r="AG33" s="1" t="s">
        <v>74</v>
      </c>
      <c r="AH33" s="1"/>
      <c r="AI33" s="1" t="s">
        <v>143</v>
      </c>
      <c r="AJ33" s="1" t="s">
        <v>64</v>
      </c>
      <c r="AK33" s="1" t="s">
        <v>345</v>
      </c>
      <c r="AL33" s="1" t="s">
        <v>346</v>
      </c>
      <c r="AM33" s="1" t="s">
        <v>77</v>
      </c>
      <c r="AN33" s="1" t="s">
        <v>347</v>
      </c>
      <c r="AO33" s="1" t="s">
        <v>74</v>
      </c>
      <c r="AP33" s="1"/>
      <c r="AQ33" s="1"/>
      <c r="AR33" s="3" t="s">
        <v>348</v>
      </c>
      <c r="AS33" s="1" t="s">
        <v>83</v>
      </c>
      <c r="AT33" s="1" t="s">
        <v>84</v>
      </c>
    </row>
    <row r="34" spans="1:46" ht="19.899999999999999" customHeight="1" x14ac:dyDescent="0.25">
      <c r="A34" s="1" t="s">
        <v>309</v>
      </c>
      <c r="B34" s="1"/>
      <c r="C34" s="1" t="s">
        <v>48</v>
      </c>
      <c r="D34" s="1" t="s">
        <v>86</v>
      </c>
      <c r="E34" s="1" t="s">
        <v>87</v>
      </c>
      <c r="F34" s="1" t="s">
        <v>108</v>
      </c>
      <c r="G34" s="2">
        <v>10149</v>
      </c>
      <c r="H34" s="1" t="s">
        <v>395</v>
      </c>
      <c r="I34" s="1" t="s">
        <v>339</v>
      </c>
      <c r="J34" s="1" t="s">
        <v>340</v>
      </c>
      <c r="K34" s="1" t="s">
        <v>153</v>
      </c>
      <c r="L34" s="1" t="s">
        <v>55</v>
      </c>
      <c r="M34" s="1" t="s">
        <v>56</v>
      </c>
      <c r="N34" s="1" t="s">
        <v>215</v>
      </c>
      <c r="O34" s="1" t="s">
        <v>216</v>
      </c>
      <c r="P34" s="1" t="s">
        <v>305</v>
      </c>
      <c r="Q34" s="1" t="s">
        <v>60</v>
      </c>
      <c r="R34" s="1" t="s">
        <v>61</v>
      </c>
      <c r="S34" s="1" t="s">
        <v>319</v>
      </c>
      <c r="T34" t="str">
        <f t="shared" si="0"/>
        <v>NSSC-smallbusiness@mail.nasa.gov</v>
      </c>
      <c r="U34" s="1" t="s">
        <v>64</v>
      </c>
      <c r="V34" s="1" t="s">
        <v>143</v>
      </c>
      <c r="W34" s="1" t="s">
        <v>129</v>
      </c>
      <c r="X34" s="1" t="s">
        <v>238</v>
      </c>
      <c r="Y34" s="1"/>
      <c r="Z34" s="1" t="s">
        <v>69</v>
      </c>
      <c r="AA34" s="1" t="s">
        <v>130</v>
      </c>
      <c r="AB34" s="1" t="s">
        <v>87</v>
      </c>
      <c r="AC34" s="1" t="s">
        <v>230</v>
      </c>
      <c r="AD34" s="3" t="s">
        <v>344</v>
      </c>
      <c r="AE34" s="1"/>
      <c r="AF34" s="1"/>
      <c r="AG34" s="1" t="s">
        <v>74</v>
      </c>
      <c r="AH34" s="1"/>
      <c r="AI34" s="1" t="s">
        <v>143</v>
      </c>
      <c r="AJ34" s="1" t="s">
        <v>64</v>
      </c>
      <c r="AK34" s="1" t="s">
        <v>345</v>
      </c>
      <c r="AL34" s="1" t="s">
        <v>346</v>
      </c>
      <c r="AM34" s="1" t="s">
        <v>77</v>
      </c>
      <c r="AN34" s="1" t="s">
        <v>347</v>
      </c>
      <c r="AO34" s="1" t="s">
        <v>74</v>
      </c>
      <c r="AP34" s="1"/>
      <c r="AQ34" s="1"/>
      <c r="AR34" s="3" t="s">
        <v>355</v>
      </c>
      <c r="AS34" s="1" t="s">
        <v>83</v>
      </c>
      <c r="AT34" s="1" t="s">
        <v>84</v>
      </c>
    </row>
    <row r="35" spans="1:46" ht="19.899999999999999" customHeight="1" x14ac:dyDescent="0.25">
      <c r="A35" s="1" t="s">
        <v>325</v>
      </c>
      <c r="B35" s="1" t="s">
        <v>386</v>
      </c>
      <c r="C35" s="1" t="s">
        <v>48</v>
      </c>
      <c r="D35" s="1" t="s">
        <v>170</v>
      </c>
      <c r="E35" s="1" t="s">
        <v>170</v>
      </c>
      <c r="F35" s="1" t="s">
        <v>108</v>
      </c>
      <c r="G35" s="2">
        <v>10150</v>
      </c>
      <c r="H35" s="1" t="s">
        <v>396</v>
      </c>
      <c r="I35" s="1" t="s">
        <v>357</v>
      </c>
      <c r="J35" s="1" t="s">
        <v>358</v>
      </c>
      <c r="K35" s="1"/>
      <c r="L35" s="1"/>
      <c r="M35" s="1" t="s">
        <v>397</v>
      </c>
      <c r="N35" s="1" t="s">
        <v>398</v>
      </c>
      <c r="O35" s="1" t="s">
        <v>399</v>
      </c>
      <c r="P35" s="1" t="s">
        <v>400</v>
      </c>
      <c r="Q35" s="1" t="s">
        <v>401</v>
      </c>
      <c r="R35" s="1"/>
      <c r="S35" s="1" t="s">
        <v>319</v>
      </c>
      <c r="T35" t="str">
        <f t="shared" si="0"/>
        <v>SSC-smallbusiness@mail.nasa.gov</v>
      </c>
      <c r="U35" s="1"/>
      <c r="V35" s="1"/>
      <c r="W35" s="1" t="s">
        <v>129</v>
      </c>
      <c r="X35" s="1"/>
      <c r="Y35" s="1" t="s">
        <v>364</v>
      </c>
      <c r="Z35" s="1"/>
      <c r="AA35" s="1"/>
      <c r="AB35" s="1"/>
      <c r="AC35" s="1"/>
      <c r="AD35" s="3" t="s">
        <v>396</v>
      </c>
      <c r="AE35" s="1"/>
      <c r="AF35" s="1"/>
      <c r="AG35" s="1" t="s">
        <v>74</v>
      </c>
      <c r="AH35" s="1" t="s">
        <v>402</v>
      </c>
      <c r="AI35" s="1"/>
      <c r="AJ35" s="1"/>
      <c r="AK35" s="1"/>
      <c r="AL35" s="1" t="s">
        <v>68</v>
      </c>
      <c r="AM35" s="1" t="s">
        <v>182</v>
      </c>
      <c r="AN35" s="1" t="s">
        <v>105</v>
      </c>
      <c r="AO35" s="1"/>
      <c r="AP35" s="1"/>
      <c r="AQ35" s="1"/>
      <c r="AR35" s="3" t="s">
        <v>396</v>
      </c>
      <c r="AS35" s="1" t="s">
        <v>83</v>
      </c>
      <c r="AT35" s="1" t="s">
        <v>84</v>
      </c>
    </row>
    <row r="36" spans="1:46" ht="19.899999999999999" customHeight="1" x14ac:dyDescent="0.25">
      <c r="A36" s="1" t="s">
        <v>325</v>
      </c>
      <c r="B36" s="1" t="s">
        <v>386</v>
      </c>
      <c r="C36" s="1" t="s">
        <v>48</v>
      </c>
      <c r="D36" s="1" t="s">
        <v>49</v>
      </c>
      <c r="E36" s="1" t="s">
        <v>49</v>
      </c>
      <c r="F36" s="1" t="s">
        <v>49</v>
      </c>
      <c r="G36" s="2">
        <v>10151</v>
      </c>
      <c r="H36" s="1" t="s">
        <v>403</v>
      </c>
      <c r="I36" s="1" t="s">
        <v>357</v>
      </c>
      <c r="J36" s="1" t="s">
        <v>358</v>
      </c>
      <c r="K36" s="1" t="s">
        <v>359</v>
      </c>
      <c r="L36" s="1" t="s">
        <v>55</v>
      </c>
      <c r="M36" s="1" t="s">
        <v>404</v>
      </c>
      <c r="N36" s="1" t="s">
        <v>405</v>
      </c>
      <c r="O36" s="1" t="s">
        <v>406</v>
      </c>
      <c r="P36" s="1" t="s">
        <v>112</v>
      </c>
      <c r="Q36" s="1" t="s">
        <v>407</v>
      </c>
      <c r="R36" s="1" t="s">
        <v>61</v>
      </c>
      <c r="S36" s="1" t="s">
        <v>319</v>
      </c>
      <c r="T36" t="str">
        <f t="shared" si="0"/>
        <v>SSC-smallbusiness@mail.nasa.gov</v>
      </c>
      <c r="U36" s="1" t="s">
        <v>64</v>
      </c>
      <c r="V36" s="1" t="s">
        <v>65</v>
      </c>
      <c r="W36" s="1" t="s">
        <v>129</v>
      </c>
      <c r="X36" s="1" t="s">
        <v>343</v>
      </c>
      <c r="Y36" s="1" t="s">
        <v>364</v>
      </c>
      <c r="Z36" s="1" t="s">
        <v>115</v>
      </c>
      <c r="AA36" s="1" t="s">
        <v>130</v>
      </c>
      <c r="AB36" s="1" t="s">
        <v>408</v>
      </c>
      <c r="AC36" s="1" t="s">
        <v>72</v>
      </c>
      <c r="AD36" s="3" t="s">
        <v>403</v>
      </c>
      <c r="AE36" s="1" t="s">
        <v>343</v>
      </c>
      <c r="AF36" s="1" t="s">
        <v>409</v>
      </c>
      <c r="AG36" s="1" t="s">
        <v>74</v>
      </c>
      <c r="AH36" s="1"/>
      <c r="AI36" s="1" t="s">
        <v>65</v>
      </c>
      <c r="AJ36" s="1" t="s">
        <v>64</v>
      </c>
      <c r="AK36" s="1" t="s">
        <v>120</v>
      </c>
      <c r="AL36" s="1" t="s">
        <v>68</v>
      </c>
      <c r="AM36" s="1" t="s">
        <v>182</v>
      </c>
      <c r="AN36" s="1" t="s">
        <v>105</v>
      </c>
      <c r="AO36" s="1" t="s">
        <v>79</v>
      </c>
      <c r="AP36" s="1" t="s">
        <v>120</v>
      </c>
      <c r="AQ36" s="1" t="s">
        <v>120</v>
      </c>
      <c r="AR36" s="3" t="s">
        <v>403</v>
      </c>
      <c r="AS36" s="1" t="s">
        <v>83</v>
      </c>
      <c r="AT36" s="1" t="s">
        <v>84</v>
      </c>
    </row>
    <row r="37" spans="1:46" ht="19.899999999999999" customHeight="1" x14ac:dyDescent="0.25">
      <c r="A37" s="1" t="s">
        <v>309</v>
      </c>
      <c r="B37" s="1"/>
      <c r="C37" s="1" t="s">
        <v>48</v>
      </c>
      <c r="D37" s="1" t="s">
        <v>170</v>
      </c>
      <c r="E37" s="1" t="s">
        <v>170</v>
      </c>
      <c r="F37" s="1" t="s">
        <v>108</v>
      </c>
      <c r="G37" s="2">
        <v>10156</v>
      </c>
      <c r="H37" s="1" t="s">
        <v>410</v>
      </c>
      <c r="I37" s="1" t="s">
        <v>411</v>
      </c>
      <c r="J37" s="1" t="s">
        <v>412</v>
      </c>
      <c r="K37" s="1" t="s">
        <v>153</v>
      </c>
      <c r="L37" s="1" t="s">
        <v>55</v>
      </c>
      <c r="M37" s="1" t="s">
        <v>413</v>
      </c>
      <c r="N37" s="1" t="s">
        <v>414</v>
      </c>
      <c r="O37" s="1" t="s">
        <v>415</v>
      </c>
      <c r="P37" s="1" t="s">
        <v>317</v>
      </c>
      <c r="Q37" s="1" t="s">
        <v>416</v>
      </c>
      <c r="R37" s="1" t="s">
        <v>61</v>
      </c>
      <c r="S37" s="1" t="s">
        <v>319</v>
      </c>
      <c r="T37" t="str">
        <f t="shared" si="0"/>
        <v>NSSC-smallbusiness@mail.nasa.gov</v>
      </c>
      <c r="U37" s="1" t="s">
        <v>94</v>
      </c>
      <c r="V37" s="1" t="s">
        <v>115</v>
      </c>
      <c r="W37" s="1" t="s">
        <v>129</v>
      </c>
      <c r="X37" s="1" t="s">
        <v>96</v>
      </c>
      <c r="Y37" s="1" t="s">
        <v>417</v>
      </c>
      <c r="Z37" s="1" t="s">
        <v>98</v>
      </c>
      <c r="AA37" s="1" t="s">
        <v>115</v>
      </c>
      <c r="AB37" s="1" t="s">
        <v>418</v>
      </c>
      <c r="AC37" s="1" t="s">
        <v>230</v>
      </c>
      <c r="AD37" s="3"/>
      <c r="AE37" s="1"/>
      <c r="AF37" s="1"/>
      <c r="AG37" s="1" t="s">
        <v>74</v>
      </c>
      <c r="AH37" s="1" t="s">
        <v>419</v>
      </c>
      <c r="AI37" s="1" t="s">
        <v>115</v>
      </c>
      <c r="AJ37" s="1" t="s">
        <v>64</v>
      </c>
      <c r="AK37" s="1" t="s">
        <v>103</v>
      </c>
      <c r="AL37" s="1" t="s">
        <v>420</v>
      </c>
      <c r="AM37" s="1" t="s">
        <v>77</v>
      </c>
      <c r="AN37" s="1" t="s">
        <v>115</v>
      </c>
      <c r="AO37" s="1" t="s">
        <v>167</v>
      </c>
      <c r="AP37" s="1"/>
      <c r="AQ37" s="1"/>
      <c r="AR37" s="3" t="s">
        <v>421</v>
      </c>
      <c r="AS37" s="1" t="s">
        <v>83</v>
      </c>
      <c r="AT37" s="1" t="s">
        <v>84</v>
      </c>
    </row>
    <row r="38" spans="1:46" ht="19.899999999999999" customHeight="1" x14ac:dyDescent="0.25">
      <c r="A38" s="1" t="s">
        <v>309</v>
      </c>
      <c r="B38" s="1"/>
      <c r="C38" s="1" t="s">
        <v>48</v>
      </c>
      <c r="D38" s="1" t="s">
        <v>170</v>
      </c>
      <c r="E38" s="1" t="s">
        <v>170</v>
      </c>
      <c r="F38" s="1" t="s">
        <v>108</v>
      </c>
      <c r="G38" s="2">
        <v>10157</v>
      </c>
      <c r="H38" s="1" t="s">
        <v>422</v>
      </c>
      <c r="I38" s="1" t="s">
        <v>423</v>
      </c>
      <c r="J38" s="1" t="s">
        <v>424</v>
      </c>
      <c r="K38" s="1"/>
      <c r="L38" s="1"/>
      <c r="M38" s="1" t="s">
        <v>425</v>
      </c>
      <c r="N38" s="1" t="s">
        <v>426</v>
      </c>
      <c r="O38" s="1" t="s">
        <v>427</v>
      </c>
      <c r="P38" s="1" t="s">
        <v>112</v>
      </c>
      <c r="Q38" s="1" t="s">
        <v>428</v>
      </c>
      <c r="R38" s="1"/>
      <c r="S38" s="1" t="s">
        <v>319</v>
      </c>
      <c r="T38" t="str">
        <f t="shared" si="0"/>
        <v>NSSC-smallbusiness@mail.nasa.gov</v>
      </c>
      <c r="U38" s="1"/>
      <c r="V38" s="1"/>
      <c r="W38" s="1" t="s">
        <v>66</v>
      </c>
      <c r="X38" s="1"/>
      <c r="Y38" s="1" t="s">
        <v>364</v>
      </c>
      <c r="Z38" s="1"/>
      <c r="AA38" s="1"/>
      <c r="AB38" s="1"/>
      <c r="AC38" s="1"/>
      <c r="AD38" s="3" t="s">
        <v>429</v>
      </c>
      <c r="AE38" s="1"/>
      <c r="AF38" s="1"/>
      <c r="AG38" s="1" t="s">
        <v>74</v>
      </c>
      <c r="AH38" s="1" t="s">
        <v>430</v>
      </c>
      <c r="AI38" s="1"/>
      <c r="AJ38" s="1"/>
      <c r="AK38" s="1"/>
      <c r="AL38" s="1" t="s">
        <v>68</v>
      </c>
      <c r="AM38" s="1" t="s">
        <v>77</v>
      </c>
      <c r="AN38" s="1" t="s">
        <v>115</v>
      </c>
      <c r="AO38" s="1"/>
      <c r="AP38" s="1"/>
      <c r="AQ38" s="1"/>
      <c r="AR38" s="3" t="s">
        <v>431</v>
      </c>
      <c r="AS38" s="1" t="s">
        <v>83</v>
      </c>
      <c r="AT38" s="1" t="s">
        <v>84</v>
      </c>
    </row>
    <row r="39" spans="1:46" ht="19.899999999999999" customHeight="1" x14ac:dyDescent="0.25">
      <c r="A39" s="1" t="s">
        <v>309</v>
      </c>
      <c r="B39" s="1"/>
      <c r="C39" s="1" t="s">
        <v>48</v>
      </c>
      <c r="D39" s="1" t="s">
        <v>298</v>
      </c>
      <c r="E39" s="1" t="s">
        <v>87</v>
      </c>
      <c r="F39" s="1" t="s">
        <v>108</v>
      </c>
      <c r="G39" s="2">
        <v>10191</v>
      </c>
      <c r="H39" s="1" t="s">
        <v>432</v>
      </c>
      <c r="I39" s="1" t="s">
        <v>339</v>
      </c>
      <c r="J39" s="1"/>
      <c r="K39" s="1" t="s">
        <v>153</v>
      </c>
      <c r="L39" s="1" t="s">
        <v>55</v>
      </c>
      <c r="M39" s="1" t="s">
        <v>56</v>
      </c>
      <c r="N39" s="1" t="s">
        <v>341</v>
      </c>
      <c r="O39" s="1" t="s">
        <v>342</v>
      </c>
      <c r="P39" s="1" t="s">
        <v>305</v>
      </c>
      <c r="Q39" s="1" t="s">
        <v>60</v>
      </c>
      <c r="R39" s="1" t="s">
        <v>61</v>
      </c>
      <c r="S39" s="1" t="s">
        <v>319</v>
      </c>
      <c r="T39" t="str">
        <f t="shared" si="0"/>
        <v>NSSC-smallbusiness@mail.nasa.gov</v>
      </c>
      <c r="U39" s="1" t="s">
        <v>94</v>
      </c>
      <c r="V39" s="1" t="s">
        <v>114</v>
      </c>
      <c r="W39" s="1" t="s">
        <v>129</v>
      </c>
      <c r="X39" s="1" t="s">
        <v>352</v>
      </c>
      <c r="Y39" s="1" t="s">
        <v>68</v>
      </c>
      <c r="Z39" s="1" t="s">
        <v>69</v>
      </c>
      <c r="AA39" s="1" t="s">
        <v>130</v>
      </c>
      <c r="AB39" s="1" t="s">
        <v>87</v>
      </c>
      <c r="AC39" s="1" t="s">
        <v>101</v>
      </c>
      <c r="AD39" s="3" t="s">
        <v>344</v>
      </c>
      <c r="AE39" s="1"/>
      <c r="AF39" s="1"/>
      <c r="AG39" s="1" t="s">
        <v>74</v>
      </c>
      <c r="AH39" s="1"/>
      <c r="AI39" s="1" t="s">
        <v>95</v>
      </c>
      <c r="AJ39" s="1" t="s">
        <v>64</v>
      </c>
      <c r="AK39" s="1" t="s">
        <v>345</v>
      </c>
      <c r="AL39" s="1" t="s">
        <v>346</v>
      </c>
      <c r="AM39" s="1" t="s">
        <v>77</v>
      </c>
      <c r="AN39" s="1" t="s">
        <v>347</v>
      </c>
      <c r="AO39" s="1" t="s">
        <v>74</v>
      </c>
      <c r="AP39" s="1"/>
      <c r="AQ39" s="1"/>
      <c r="AR39" s="3" t="s">
        <v>433</v>
      </c>
      <c r="AS39" s="1" t="s">
        <v>83</v>
      </c>
      <c r="AT39" s="1" t="s">
        <v>84</v>
      </c>
    </row>
    <row r="40" spans="1:46" ht="19.899999999999999" customHeight="1" x14ac:dyDescent="0.25">
      <c r="A40" s="1" t="s">
        <v>309</v>
      </c>
      <c r="B40" s="1" t="s">
        <v>337</v>
      </c>
      <c r="C40" s="1" t="s">
        <v>48</v>
      </c>
      <c r="D40" s="1" t="s">
        <v>298</v>
      </c>
      <c r="E40" s="1" t="s">
        <v>87</v>
      </c>
      <c r="F40" s="1" t="s">
        <v>108</v>
      </c>
      <c r="G40" s="2">
        <v>10192</v>
      </c>
      <c r="H40" s="1" t="s">
        <v>434</v>
      </c>
      <c r="I40" s="1" t="s">
        <v>339</v>
      </c>
      <c r="J40" s="1"/>
      <c r="K40" s="1" t="s">
        <v>153</v>
      </c>
      <c r="L40" s="1" t="s">
        <v>55</v>
      </c>
      <c r="M40" s="1" t="s">
        <v>56</v>
      </c>
      <c r="N40" s="1" t="s">
        <v>215</v>
      </c>
      <c r="O40" s="1" t="s">
        <v>216</v>
      </c>
      <c r="P40" s="1" t="s">
        <v>305</v>
      </c>
      <c r="Q40" s="1" t="s">
        <v>60</v>
      </c>
      <c r="R40" s="1" t="s">
        <v>61</v>
      </c>
      <c r="S40" s="1" t="s">
        <v>319</v>
      </c>
      <c r="T40" t="str">
        <f t="shared" si="0"/>
        <v>NSSC-smallbusiness@mail.nasa.gov</v>
      </c>
      <c r="U40" s="1" t="s">
        <v>94</v>
      </c>
      <c r="V40" s="1" t="s">
        <v>95</v>
      </c>
      <c r="W40" s="1" t="s">
        <v>129</v>
      </c>
      <c r="X40" s="1" t="s">
        <v>352</v>
      </c>
      <c r="Y40" s="1" t="s">
        <v>68</v>
      </c>
      <c r="Z40" s="1" t="s">
        <v>69</v>
      </c>
      <c r="AA40" s="1" t="s">
        <v>130</v>
      </c>
      <c r="AB40" s="1" t="s">
        <v>87</v>
      </c>
      <c r="AC40" s="1" t="s">
        <v>247</v>
      </c>
      <c r="AD40" s="3" t="s">
        <v>344</v>
      </c>
      <c r="AE40" s="1"/>
      <c r="AF40" s="1"/>
      <c r="AG40" s="1" t="s">
        <v>74</v>
      </c>
      <c r="AH40" s="1"/>
      <c r="AI40" s="1" t="s">
        <v>65</v>
      </c>
      <c r="AJ40" s="1" t="s">
        <v>64</v>
      </c>
      <c r="AK40" s="1" t="s">
        <v>80</v>
      </c>
      <c r="AL40" s="1" t="s">
        <v>148</v>
      </c>
      <c r="AM40" s="1"/>
      <c r="AN40" s="1" t="s">
        <v>105</v>
      </c>
      <c r="AO40" s="1" t="s">
        <v>74</v>
      </c>
      <c r="AP40" s="1"/>
      <c r="AQ40" s="1"/>
      <c r="AR40" s="3" t="s">
        <v>435</v>
      </c>
      <c r="AS40" s="1" t="s">
        <v>83</v>
      </c>
      <c r="AT40" s="1" t="s">
        <v>84</v>
      </c>
    </row>
    <row r="41" spans="1:46" ht="19.899999999999999" customHeight="1" x14ac:dyDescent="0.25">
      <c r="A41" s="1" t="s">
        <v>297</v>
      </c>
      <c r="B41" s="1" t="s">
        <v>436</v>
      </c>
      <c r="C41" s="1" t="s">
        <v>48</v>
      </c>
      <c r="D41" s="1" t="s">
        <v>86</v>
      </c>
      <c r="E41" s="1" t="s">
        <v>87</v>
      </c>
      <c r="F41" s="1" t="s">
        <v>108</v>
      </c>
      <c r="G41" s="2">
        <v>9977</v>
      </c>
      <c r="H41" s="1" t="s">
        <v>437</v>
      </c>
      <c r="I41" s="1" t="s">
        <v>438</v>
      </c>
      <c r="J41" s="1" t="s">
        <v>439</v>
      </c>
      <c r="K41" s="1" t="s">
        <v>153</v>
      </c>
      <c r="L41" s="1" t="s">
        <v>55</v>
      </c>
      <c r="M41" s="1"/>
      <c r="N41" s="1"/>
      <c r="O41" s="1"/>
      <c r="P41" s="1" t="s">
        <v>217</v>
      </c>
      <c r="Q41" s="1"/>
      <c r="R41" s="1" t="s">
        <v>61</v>
      </c>
      <c r="S41" s="1" t="s">
        <v>440</v>
      </c>
      <c r="T41" t="str">
        <f t="shared" si="0"/>
        <v>HQ-smallbusiness@mail.nasa.gov</v>
      </c>
      <c r="U41" s="1" t="s">
        <v>94</v>
      </c>
      <c r="V41" s="1" t="s">
        <v>114</v>
      </c>
      <c r="W41" s="1" t="s">
        <v>129</v>
      </c>
      <c r="X41" s="1" t="s">
        <v>144</v>
      </c>
      <c r="Y41" s="1" t="s">
        <v>68</v>
      </c>
      <c r="Z41" s="1" t="s">
        <v>441</v>
      </c>
      <c r="AA41" s="1" t="s">
        <v>115</v>
      </c>
      <c r="AB41" s="1" t="s">
        <v>87</v>
      </c>
      <c r="AC41" s="1" t="s">
        <v>131</v>
      </c>
      <c r="AD41" s="3" t="s">
        <v>442</v>
      </c>
      <c r="AE41" s="1"/>
      <c r="AF41" s="1"/>
      <c r="AG41" s="1" t="s">
        <v>79</v>
      </c>
      <c r="AH41" s="1"/>
      <c r="AI41" s="1" t="s">
        <v>95</v>
      </c>
      <c r="AJ41" s="1" t="s">
        <v>64</v>
      </c>
      <c r="AK41" s="1" t="s">
        <v>443</v>
      </c>
      <c r="AL41" s="1" t="s">
        <v>444</v>
      </c>
      <c r="AM41" s="1" t="s">
        <v>115</v>
      </c>
      <c r="AN41" s="1" t="s">
        <v>105</v>
      </c>
      <c r="AO41" s="1" t="s">
        <v>74</v>
      </c>
      <c r="AP41" s="1"/>
      <c r="AQ41" s="1"/>
      <c r="AR41" s="3" t="s">
        <v>445</v>
      </c>
      <c r="AS41" s="1" t="s">
        <v>83</v>
      </c>
      <c r="AT41" s="1" t="s">
        <v>84</v>
      </c>
    </row>
    <row r="42" spans="1:46" ht="19.899999999999999" customHeight="1" x14ac:dyDescent="0.25">
      <c r="A42" s="1" t="s">
        <v>297</v>
      </c>
      <c r="B42" s="1" t="s">
        <v>436</v>
      </c>
      <c r="C42" s="1" t="s">
        <v>48</v>
      </c>
      <c r="D42" s="1" t="s">
        <v>49</v>
      </c>
      <c r="E42" s="1" t="s">
        <v>49</v>
      </c>
      <c r="F42" s="1" t="s">
        <v>49</v>
      </c>
      <c r="G42" s="2">
        <v>10003</v>
      </c>
      <c r="H42" s="1" t="s">
        <v>446</v>
      </c>
      <c r="I42" s="1" t="s">
        <v>447</v>
      </c>
      <c r="J42" s="1" t="s">
        <v>448</v>
      </c>
      <c r="K42" s="1" t="s">
        <v>449</v>
      </c>
      <c r="L42" s="1" t="s">
        <v>55</v>
      </c>
      <c r="M42" s="1" t="s">
        <v>450</v>
      </c>
      <c r="N42" s="1" t="s">
        <v>414</v>
      </c>
      <c r="O42" s="1" t="s">
        <v>415</v>
      </c>
      <c r="P42" s="1" t="s">
        <v>246</v>
      </c>
      <c r="Q42" s="1" t="s">
        <v>451</v>
      </c>
      <c r="R42" s="1" t="s">
        <v>61</v>
      </c>
      <c r="S42" s="1" t="s">
        <v>440</v>
      </c>
      <c r="T42" t="str">
        <f t="shared" si="0"/>
        <v>HQ-smallbusiness@mail.nasa.gov</v>
      </c>
      <c r="U42" s="1" t="s">
        <v>64</v>
      </c>
      <c r="V42" s="1" t="s">
        <v>114</v>
      </c>
      <c r="W42" s="1" t="s">
        <v>66</v>
      </c>
      <c r="X42" s="1" t="s">
        <v>67</v>
      </c>
      <c r="Y42" s="1" t="s">
        <v>68</v>
      </c>
      <c r="Z42" s="1" t="s">
        <v>261</v>
      </c>
      <c r="AA42" s="1" t="s">
        <v>70</v>
      </c>
      <c r="AB42" s="1" t="s">
        <v>87</v>
      </c>
      <c r="AC42" s="1" t="s">
        <v>72</v>
      </c>
      <c r="AD42" s="3" t="s">
        <v>452</v>
      </c>
      <c r="AE42" s="1"/>
      <c r="AF42" s="1"/>
      <c r="AG42" s="1" t="s">
        <v>74</v>
      </c>
      <c r="AH42" s="1"/>
      <c r="AI42" s="1" t="s">
        <v>114</v>
      </c>
      <c r="AJ42" s="1" t="s">
        <v>75</v>
      </c>
      <c r="AK42" s="1" t="s">
        <v>76</v>
      </c>
      <c r="AL42" s="1" t="s">
        <v>104</v>
      </c>
      <c r="AM42" s="1" t="s">
        <v>77</v>
      </c>
      <c r="AN42" s="1" t="s">
        <v>115</v>
      </c>
      <c r="AO42" s="1" t="s">
        <v>74</v>
      </c>
      <c r="AP42" s="1"/>
      <c r="AQ42" s="1"/>
      <c r="AR42" s="3" t="s">
        <v>453</v>
      </c>
      <c r="AS42" s="1" t="s">
        <v>83</v>
      </c>
      <c r="AT42" s="1" t="s">
        <v>84</v>
      </c>
    </row>
    <row r="43" spans="1:46" ht="19.899999999999999" customHeight="1" x14ac:dyDescent="0.25">
      <c r="A43" s="1" t="s">
        <v>297</v>
      </c>
      <c r="B43" s="1"/>
      <c r="C43" s="1" t="s">
        <v>48</v>
      </c>
      <c r="D43" s="1" t="s">
        <v>86</v>
      </c>
      <c r="E43" s="1" t="s">
        <v>87</v>
      </c>
      <c r="F43" s="1" t="s">
        <v>108</v>
      </c>
      <c r="G43" s="2">
        <v>10040</v>
      </c>
      <c r="H43" s="1" t="s">
        <v>454</v>
      </c>
      <c r="I43" s="1" t="s">
        <v>455</v>
      </c>
      <c r="J43" s="1" t="s">
        <v>456</v>
      </c>
      <c r="K43" s="1" t="s">
        <v>449</v>
      </c>
      <c r="L43" s="1" t="s">
        <v>55</v>
      </c>
      <c r="M43" s="1" t="s">
        <v>457</v>
      </c>
      <c r="N43" s="1" t="s">
        <v>458</v>
      </c>
      <c r="O43" s="1" t="s">
        <v>459</v>
      </c>
      <c r="P43" s="1" t="s">
        <v>246</v>
      </c>
      <c r="Q43" s="1" t="s">
        <v>460</v>
      </c>
      <c r="R43" s="1" t="s">
        <v>61</v>
      </c>
      <c r="S43" s="1" t="s">
        <v>440</v>
      </c>
      <c r="T43" t="str">
        <f t="shared" si="0"/>
        <v>HQ-smallbusiness@mail.nasa.gov</v>
      </c>
      <c r="U43" s="1" t="s">
        <v>94</v>
      </c>
      <c r="V43" s="1" t="s">
        <v>114</v>
      </c>
      <c r="W43" s="1" t="s">
        <v>66</v>
      </c>
      <c r="X43" s="1" t="s">
        <v>73</v>
      </c>
      <c r="Y43" s="1" t="s">
        <v>461</v>
      </c>
      <c r="Z43" s="1" t="s">
        <v>115</v>
      </c>
      <c r="AA43" s="1" t="s">
        <v>70</v>
      </c>
      <c r="AB43" s="1" t="s">
        <v>87</v>
      </c>
      <c r="AC43" s="1" t="s">
        <v>131</v>
      </c>
      <c r="AD43" s="3" t="s">
        <v>462</v>
      </c>
      <c r="AE43" s="1" t="s">
        <v>144</v>
      </c>
      <c r="AF43" s="1" t="s">
        <v>144</v>
      </c>
      <c r="AG43" s="1" t="s">
        <v>74</v>
      </c>
      <c r="AH43" s="1"/>
      <c r="AI43" s="1" t="s">
        <v>65</v>
      </c>
      <c r="AJ43" s="1" t="s">
        <v>75</v>
      </c>
      <c r="AK43" s="1" t="s">
        <v>76</v>
      </c>
      <c r="AL43" s="1" t="s">
        <v>104</v>
      </c>
      <c r="AM43" s="1"/>
      <c r="AN43" s="1" t="s">
        <v>115</v>
      </c>
      <c r="AO43" s="1" t="s">
        <v>79</v>
      </c>
      <c r="AP43" s="1" t="s">
        <v>120</v>
      </c>
      <c r="AQ43" s="1" t="s">
        <v>76</v>
      </c>
      <c r="AR43" s="3" t="s">
        <v>463</v>
      </c>
      <c r="AS43" s="1" t="s">
        <v>83</v>
      </c>
      <c r="AT43" s="1" t="s">
        <v>84</v>
      </c>
    </row>
    <row r="44" spans="1:46" ht="19.899999999999999" customHeight="1" x14ac:dyDescent="0.25">
      <c r="A44" s="1" t="s">
        <v>464</v>
      </c>
      <c r="B44" s="1" t="s">
        <v>465</v>
      </c>
      <c r="C44" s="1" t="s">
        <v>48</v>
      </c>
      <c r="D44" s="1" t="s">
        <v>86</v>
      </c>
      <c r="E44" s="1" t="s">
        <v>87</v>
      </c>
      <c r="F44" s="1" t="s">
        <v>108</v>
      </c>
      <c r="G44" s="2">
        <v>9896</v>
      </c>
      <c r="H44" s="1" t="s">
        <v>466</v>
      </c>
      <c r="I44" s="1" t="s">
        <v>467</v>
      </c>
      <c r="J44" s="1" t="s">
        <v>468</v>
      </c>
      <c r="K44" s="1" t="s">
        <v>153</v>
      </c>
      <c r="L44" s="1" t="s">
        <v>55</v>
      </c>
      <c r="M44" s="1" t="s">
        <v>469</v>
      </c>
      <c r="N44" s="1" t="s">
        <v>470</v>
      </c>
      <c r="O44" s="1" t="s">
        <v>471</v>
      </c>
      <c r="P44" s="1" t="s">
        <v>128</v>
      </c>
      <c r="Q44" s="1" t="s">
        <v>472</v>
      </c>
      <c r="R44" s="1" t="s">
        <v>61</v>
      </c>
      <c r="S44" s="1" t="s">
        <v>473</v>
      </c>
      <c r="T44" t="str">
        <f t="shared" si="0"/>
        <v>JSC-smallbusiness@mail.nasa.gov</v>
      </c>
      <c r="U44" s="1" t="s">
        <v>64</v>
      </c>
      <c r="V44" s="1" t="s">
        <v>143</v>
      </c>
      <c r="W44" s="1" t="s">
        <v>66</v>
      </c>
      <c r="X44" s="1" t="s">
        <v>96</v>
      </c>
      <c r="Y44" s="1" t="s">
        <v>68</v>
      </c>
      <c r="Z44" s="1" t="s">
        <v>98</v>
      </c>
      <c r="AA44" s="1" t="s">
        <v>130</v>
      </c>
      <c r="AB44" s="1" t="s">
        <v>87</v>
      </c>
      <c r="AC44" s="1" t="s">
        <v>230</v>
      </c>
      <c r="AD44" s="3" t="s">
        <v>474</v>
      </c>
      <c r="AE44" s="1" t="s">
        <v>96</v>
      </c>
      <c r="AF44" s="1" t="s">
        <v>96</v>
      </c>
      <c r="AG44" s="1" t="s">
        <v>74</v>
      </c>
      <c r="AH44" s="1"/>
      <c r="AI44" s="1" t="s">
        <v>65</v>
      </c>
      <c r="AJ44" s="1" t="s">
        <v>64</v>
      </c>
      <c r="AK44" s="1" t="s">
        <v>103</v>
      </c>
      <c r="AL44" s="1" t="s">
        <v>197</v>
      </c>
      <c r="AM44" s="1" t="s">
        <v>77</v>
      </c>
      <c r="AN44" s="1" t="s">
        <v>105</v>
      </c>
      <c r="AO44" s="1" t="s">
        <v>79</v>
      </c>
      <c r="AP44" s="1" t="s">
        <v>103</v>
      </c>
      <c r="AQ44" s="1" t="s">
        <v>76</v>
      </c>
      <c r="AR44" s="3" t="s">
        <v>475</v>
      </c>
      <c r="AS44" s="1" t="s">
        <v>83</v>
      </c>
      <c r="AT44" s="1" t="s">
        <v>84</v>
      </c>
    </row>
    <row r="45" spans="1:46" ht="19.899999999999999" customHeight="1" x14ac:dyDescent="0.25">
      <c r="A45" s="1" t="s">
        <v>464</v>
      </c>
      <c r="B45" s="1" t="s">
        <v>476</v>
      </c>
      <c r="C45" s="1" t="s">
        <v>48</v>
      </c>
      <c r="D45" s="1" t="s">
        <v>86</v>
      </c>
      <c r="E45" s="1" t="s">
        <v>87</v>
      </c>
      <c r="F45" s="1" t="s">
        <v>108</v>
      </c>
      <c r="G45" s="2">
        <v>9901</v>
      </c>
      <c r="H45" s="1" t="s">
        <v>477</v>
      </c>
      <c r="I45" s="1" t="s">
        <v>478</v>
      </c>
      <c r="J45" s="1" t="s">
        <v>479</v>
      </c>
      <c r="K45" s="1" t="s">
        <v>115</v>
      </c>
      <c r="L45" s="1" t="s">
        <v>55</v>
      </c>
      <c r="M45" s="1" t="s">
        <v>469</v>
      </c>
      <c r="N45" s="1" t="s">
        <v>480</v>
      </c>
      <c r="O45" s="1" t="s">
        <v>481</v>
      </c>
      <c r="P45" s="1" t="s">
        <v>246</v>
      </c>
      <c r="Q45" s="1" t="s">
        <v>472</v>
      </c>
      <c r="R45" s="1" t="s">
        <v>61</v>
      </c>
      <c r="S45" s="1" t="s">
        <v>473</v>
      </c>
      <c r="T45" t="str">
        <f t="shared" si="0"/>
        <v>JSC-smallbusiness@mail.nasa.gov</v>
      </c>
      <c r="U45" s="1" t="s">
        <v>94</v>
      </c>
      <c r="V45" s="1" t="s">
        <v>143</v>
      </c>
      <c r="W45" s="1" t="s">
        <v>129</v>
      </c>
      <c r="X45" s="1" t="s">
        <v>238</v>
      </c>
      <c r="Y45" s="1" t="s">
        <v>68</v>
      </c>
      <c r="Z45" s="1" t="s">
        <v>69</v>
      </c>
      <c r="AA45" s="1" t="s">
        <v>130</v>
      </c>
      <c r="AB45" s="1" t="s">
        <v>87</v>
      </c>
      <c r="AC45" s="1" t="s">
        <v>166</v>
      </c>
      <c r="AD45" s="3" t="s">
        <v>482</v>
      </c>
      <c r="AE45" s="1"/>
      <c r="AF45" s="1"/>
      <c r="AG45" s="1" t="s">
        <v>74</v>
      </c>
      <c r="AH45" s="1"/>
      <c r="AI45" s="1" t="s">
        <v>143</v>
      </c>
      <c r="AJ45" s="1" t="s">
        <v>94</v>
      </c>
      <c r="AK45" s="1" t="s">
        <v>345</v>
      </c>
      <c r="AL45" s="1" t="s">
        <v>346</v>
      </c>
      <c r="AM45" s="1" t="s">
        <v>115</v>
      </c>
      <c r="AN45" s="1" t="s">
        <v>115</v>
      </c>
      <c r="AO45" s="1" t="s">
        <v>74</v>
      </c>
      <c r="AP45" s="1"/>
      <c r="AQ45" s="1"/>
      <c r="AR45" s="3" t="s">
        <v>483</v>
      </c>
      <c r="AS45" s="1" t="s">
        <v>83</v>
      </c>
      <c r="AT45" s="1" t="s">
        <v>84</v>
      </c>
    </row>
    <row r="46" spans="1:46" ht="19.899999999999999" customHeight="1" x14ac:dyDescent="0.25">
      <c r="A46" s="1" t="s">
        <v>464</v>
      </c>
      <c r="B46" s="1" t="s">
        <v>476</v>
      </c>
      <c r="C46" s="1" t="s">
        <v>48</v>
      </c>
      <c r="D46" s="1" t="s">
        <v>86</v>
      </c>
      <c r="E46" s="1" t="s">
        <v>87</v>
      </c>
      <c r="F46" s="1" t="s">
        <v>108</v>
      </c>
      <c r="G46" s="2">
        <v>9915</v>
      </c>
      <c r="H46" s="1" t="s">
        <v>484</v>
      </c>
      <c r="I46" s="1" t="s">
        <v>485</v>
      </c>
      <c r="J46" s="1" t="s">
        <v>486</v>
      </c>
      <c r="K46" s="1" t="s">
        <v>153</v>
      </c>
      <c r="L46" s="1" t="s">
        <v>55</v>
      </c>
      <c r="M46" s="1" t="s">
        <v>469</v>
      </c>
      <c r="N46" s="1" t="s">
        <v>470</v>
      </c>
      <c r="O46" s="1" t="s">
        <v>471</v>
      </c>
      <c r="P46" s="1" t="s">
        <v>128</v>
      </c>
      <c r="Q46" s="1" t="s">
        <v>472</v>
      </c>
      <c r="R46" s="1" t="s">
        <v>61</v>
      </c>
      <c r="S46" s="1" t="s">
        <v>473</v>
      </c>
      <c r="T46" t="str">
        <f t="shared" si="0"/>
        <v>JSC-smallbusiness@mail.nasa.gov</v>
      </c>
      <c r="U46" s="1" t="s">
        <v>94</v>
      </c>
      <c r="V46" s="1" t="s">
        <v>65</v>
      </c>
      <c r="W46" s="1" t="s">
        <v>66</v>
      </c>
      <c r="X46" s="1" t="s">
        <v>73</v>
      </c>
      <c r="Y46" s="1" t="s">
        <v>68</v>
      </c>
      <c r="Z46" s="1" t="s">
        <v>98</v>
      </c>
      <c r="AA46" s="1" t="s">
        <v>130</v>
      </c>
      <c r="AB46" s="1" t="s">
        <v>87</v>
      </c>
      <c r="AC46" s="1" t="s">
        <v>334</v>
      </c>
      <c r="AD46" s="3" t="s">
        <v>487</v>
      </c>
      <c r="AE46" s="1"/>
      <c r="AF46" s="1"/>
      <c r="AG46" s="1" t="s">
        <v>74</v>
      </c>
      <c r="AH46" s="1"/>
      <c r="AI46" s="1" t="s">
        <v>95</v>
      </c>
      <c r="AJ46" s="1" t="s">
        <v>94</v>
      </c>
      <c r="AK46" s="1" t="s">
        <v>76</v>
      </c>
      <c r="AL46" s="1" t="s">
        <v>207</v>
      </c>
      <c r="AM46" s="1" t="s">
        <v>115</v>
      </c>
      <c r="AN46" s="1" t="s">
        <v>105</v>
      </c>
      <c r="AO46" s="1" t="s">
        <v>167</v>
      </c>
      <c r="AP46" s="1"/>
      <c r="AQ46" s="1"/>
      <c r="AR46" s="3" t="s">
        <v>488</v>
      </c>
      <c r="AS46" s="1" t="s">
        <v>83</v>
      </c>
      <c r="AT46" s="1" t="s">
        <v>84</v>
      </c>
    </row>
    <row r="47" spans="1:46" ht="19.899999999999999" customHeight="1" x14ac:dyDescent="0.25">
      <c r="A47" s="1" t="s">
        <v>464</v>
      </c>
      <c r="B47" s="1" t="s">
        <v>476</v>
      </c>
      <c r="C47" s="1" t="s">
        <v>48</v>
      </c>
      <c r="D47" s="1" t="s">
        <v>86</v>
      </c>
      <c r="E47" s="1" t="s">
        <v>87</v>
      </c>
      <c r="F47" s="1" t="s">
        <v>108</v>
      </c>
      <c r="G47" s="2">
        <v>10029</v>
      </c>
      <c r="H47" s="1" t="s">
        <v>489</v>
      </c>
      <c r="I47" s="1" t="s">
        <v>490</v>
      </c>
      <c r="J47" s="1" t="s">
        <v>491</v>
      </c>
      <c r="K47" s="1" t="s">
        <v>492</v>
      </c>
      <c r="L47" s="1" t="s">
        <v>55</v>
      </c>
      <c r="M47" s="1" t="s">
        <v>493</v>
      </c>
      <c r="N47" s="1" t="s">
        <v>256</v>
      </c>
      <c r="O47" s="1" t="s">
        <v>257</v>
      </c>
      <c r="P47" s="1" t="s">
        <v>128</v>
      </c>
      <c r="Q47" s="1" t="s">
        <v>494</v>
      </c>
      <c r="R47" s="1" t="s">
        <v>61</v>
      </c>
      <c r="S47" s="1" t="s">
        <v>473</v>
      </c>
      <c r="T47" t="str">
        <f t="shared" si="0"/>
        <v>JSC-smallbusiness@mail.nasa.gov</v>
      </c>
      <c r="U47" s="1" t="s">
        <v>119</v>
      </c>
      <c r="V47" s="1" t="s">
        <v>95</v>
      </c>
      <c r="W47" s="1" t="s">
        <v>66</v>
      </c>
      <c r="X47" s="1" t="s">
        <v>352</v>
      </c>
      <c r="Y47" s="1" t="s">
        <v>495</v>
      </c>
      <c r="Z47" s="1" t="s">
        <v>69</v>
      </c>
      <c r="AA47" s="1" t="s">
        <v>130</v>
      </c>
      <c r="AB47" s="1" t="s">
        <v>87</v>
      </c>
      <c r="AC47" s="1" t="s">
        <v>496</v>
      </c>
      <c r="AD47" s="3" t="s">
        <v>497</v>
      </c>
      <c r="AE47" s="1" t="s">
        <v>228</v>
      </c>
      <c r="AF47" s="1" t="s">
        <v>352</v>
      </c>
      <c r="AG47" s="1" t="s">
        <v>74</v>
      </c>
      <c r="AH47" s="1"/>
      <c r="AI47" s="1" t="s">
        <v>143</v>
      </c>
      <c r="AJ47" s="1" t="s">
        <v>94</v>
      </c>
      <c r="AK47" s="1" t="s">
        <v>76</v>
      </c>
      <c r="AL47" s="1" t="s">
        <v>207</v>
      </c>
      <c r="AM47" s="1" t="s">
        <v>198</v>
      </c>
      <c r="AN47" s="1" t="s">
        <v>105</v>
      </c>
      <c r="AO47" s="1" t="s">
        <v>79</v>
      </c>
      <c r="AP47" s="1" t="s">
        <v>76</v>
      </c>
      <c r="AQ47" s="1" t="s">
        <v>76</v>
      </c>
      <c r="AR47" s="3" t="s">
        <v>497</v>
      </c>
      <c r="AS47" s="1" t="s">
        <v>83</v>
      </c>
      <c r="AT47" s="1" t="s">
        <v>84</v>
      </c>
    </row>
    <row r="48" spans="1:46" ht="19.899999999999999" customHeight="1" x14ac:dyDescent="0.25">
      <c r="A48" s="1" t="s">
        <v>464</v>
      </c>
      <c r="B48" s="1" t="s">
        <v>476</v>
      </c>
      <c r="C48" s="1" t="s">
        <v>48</v>
      </c>
      <c r="D48" s="1" t="s">
        <v>86</v>
      </c>
      <c r="E48" s="1" t="s">
        <v>87</v>
      </c>
      <c r="F48" s="1" t="s">
        <v>108</v>
      </c>
      <c r="G48" s="2">
        <v>10036</v>
      </c>
      <c r="H48" s="1" t="s">
        <v>498</v>
      </c>
      <c r="I48" s="1" t="s">
        <v>499</v>
      </c>
      <c r="J48" s="1" t="s">
        <v>500</v>
      </c>
      <c r="K48" s="1" t="s">
        <v>501</v>
      </c>
      <c r="L48" s="1" t="s">
        <v>55</v>
      </c>
      <c r="M48" s="1" t="s">
        <v>502</v>
      </c>
      <c r="N48" s="1" t="s">
        <v>503</v>
      </c>
      <c r="O48" s="1" t="s">
        <v>504</v>
      </c>
      <c r="P48" s="1" t="s">
        <v>128</v>
      </c>
      <c r="Q48" s="1" t="s">
        <v>505</v>
      </c>
      <c r="R48" s="1" t="s">
        <v>61</v>
      </c>
      <c r="S48" s="1" t="s">
        <v>473</v>
      </c>
      <c r="T48" t="str">
        <f t="shared" si="0"/>
        <v>JSC-smallbusiness@mail.nasa.gov</v>
      </c>
      <c r="U48" s="1" t="s">
        <v>64</v>
      </c>
      <c r="V48" s="1" t="s">
        <v>143</v>
      </c>
      <c r="W48" s="1" t="s">
        <v>66</v>
      </c>
      <c r="X48" s="1" t="s">
        <v>144</v>
      </c>
      <c r="Y48" s="1" t="s">
        <v>506</v>
      </c>
      <c r="Z48" s="1" t="s">
        <v>507</v>
      </c>
      <c r="AA48" s="1" t="s">
        <v>130</v>
      </c>
      <c r="AB48" s="1" t="s">
        <v>508</v>
      </c>
      <c r="AC48" s="1" t="s">
        <v>166</v>
      </c>
      <c r="AD48" s="3" t="s">
        <v>509</v>
      </c>
      <c r="AE48" s="1"/>
      <c r="AF48" s="1"/>
      <c r="AG48" s="1" t="s">
        <v>74</v>
      </c>
      <c r="AH48" s="1"/>
      <c r="AI48" s="1" t="s">
        <v>95</v>
      </c>
      <c r="AJ48" s="1" t="s">
        <v>64</v>
      </c>
      <c r="AK48" s="1" t="s">
        <v>103</v>
      </c>
      <c r="AL48" s="1" t="s">
        <v>197</v>
      </c>
      <c r="AM48" s="1" t="s">
        <v>115</v>
      </c>
      <c r="AN48" s="1" t="s">
        <v>347</v>
      </c>
      <c r="AO48" s="1" t="s">
        <v>74</v>
      </c>
      <c r="AP48" s="1"/>
      <c r="AQ48" s="1"/>
      <c r="AR48" s="3" t="s">
        <v>510</v>
      </c>
      <c r="AS48" s="1" t="s">
        <v>83</v>
      </c>
      <c r="AT48" s="1" t="s">
        <v>84</v>
      </c>
    </row>
    <row r="49" spans="1:46" ht="19.899999999999999" customHeight="1" x14ac:dyDescent="0.25">
      <c r="A49" s="1" t="s">
        <v>464</v>
      </c>
      <c r="B49" s="1" t="s">
        <v>476</v>
      </c>
      <c r="C49" s="1" t="s">
        <v>48</v>
      </c>
      <c r="D49" s="1" t="s">
        <v>86</v>
      </c>
      <c r="E49" s="1" t="s">
        <v>87</v>
      </c>
      <c r="F49" s="1" t="s">
        <v>108</v>
      </c>
      <c r="G49" s="2">
        <v>10061</v>
      </c>
      <c r="H49" s="1" t="s">
        <v>511</v>
      </c>
      <c r="I49" s="1" t="s">
        <v>512</v>
      </c>
      <c r="J49" s="1" t="s">
        <v>513</v>
      </c>
      <c r="K49" s="1" t="s">
        <v>514</v>
      </c>
      <c r="L49" s="1" t="s">
        <v>55</v>
      </c>
      <c r="M49" s="1" t="s">
        <v>56</v>
      </c>
      <c r="N49" s="1" t="s">
        <v>126</v>
      </c>
      <c r="O49" s="1" t="s">
        <v>127</v>
      </c>
      <c r="P49" s="1" t="s">
        <v>128</v>
      </c>
      <c r="Q49" s="1" t="s">
        <v>60</v>
      </c>
      <c r="R49" s="1" t="s">
        <v>61</v>
      </c>
      <c r="S49" s="1" t="s">
        <v>473</v>
      </c>
      <c r="T49" t="str">
        <f t="shared" si="0"/>
        <v>JSC-smallbusiness@mail.nasa.gov</v>
      </c>
      <c r="U49" s="1" t="s">
        <v>94</v>
      </c>
      <c r="V49" s="1" t="s">
        <v>95</v>
      </c>
      <c r="W49" s="1" t="s">
        <v>66</v>
      </c>
      <c r="X49" s="1" t="s">
        <v>228</v>
      </c>
      <c r="Y49" s="1" t="s">
        <v>515</v>
      </c>
      <c r="Z49" s="1" t="s">
        <v>507</v>
      </c>
      <c r="AA49" s="1" t="s">
        <v>130</v>
      </c>
      <c r="AB49" s="1" t="s">
        <v>100</v>
      </c>
      <c r="AC49" s="1" t="s">
        <v>101</v>
      </c>
      <c r="AD49" s="3" t="s">
        <v>516</v>
      </c>
      <c r="AE49" s="1"/>
      <c r="AF49" s="1"/>
      <c r="AG49" s="1" t="s">
        <v>74</v>
      </c>
      <c r="AH49" s="1"/>
      <c r="AI49" s="1" t="s">
        <v>143</v>
      </c>
      <c r="AJ49" s="1" t="s">
        <v>64</v>
      </c>
      <c r="AK49" s="1" t="s">
        <v>76</v>
      </c>
      <c r="AL49" s="1" t="s">
        <v>517</v>
      </c>
      <c r="AM49" s="1" t="s">
        <v>77</v>
      </c>
      <c r="AN49" s="1" t="s">
        <v>347</v>
      </c>
      <c r="AO49" s="1" t="s">
        <v>74</v>
      </c>
      <c r="AP49" s="1"/>
      <c r="AQ49" s="1"/>
      <c r="AR49" s="3" t="s">
        <v>518</v>
      </c>
      <c r="AS49" s="1" t="s">
        <v>83</v>
      </c>
      <c r="AT49" s="1" t="s">
        <v>84</v>
      </c>
    </row>
    <row r="50" spans="1:46" ht="19.899999999999999" customHeight="1" x14ac:dyDescent="0.25">
      <c r="A50" s="1" t="s">
        <v>464</v>
      </c>
      <c r="B50" s="1" t="s">
        <v>476</v>
      </c>
      <c r="C50" s="1" t="s">
        <v>48</v>
      </c>
      <c r="D50" s="1" t="s">
        <v>49</v>
      </c>
      <c r="E50" s="1" t="s">
        <v>49</v>
      </c>
      <c r="F50" s="1" t="s">
        <v>49</v>
      </c>
      <c r="G50" s="2">
        <v>10064</v>
      </c>
      <c r="H50" s="1" t="s">
        <v>519</v>
      </c>
      <c r="I50" s="1" t="s">
        <v>520</v>
      </c>
      <c r="J50" s="1" t="s">
        <v>521</v>
      </c>
      <c r="K50" s="1" t="s">
        <v>492</v>
      </c>
      <c r="L50" s="1" t="s">
        <v>55</v>
      </c>
      <c r="M50" s="1" t="s">
        <v>522</v>
      </c>
      <c r="N50" s="1" t="s">
        <v>523</v>
      </c>
      <c r="O50" s="1" t="s">
        <v>524</v>
      </c>
      <c r="P50" s="1" t="s">
        <v>128</v>
      </c>
      <c r="Q50" s="1" t="s">
        <v>525</v>
      </c>
      <c r="R50" s="1" t="s">
        <v>61</v>
      </c>
      <c r="S50" s="1" t="s">
        <v>473</v>
      </c>
      <c r="T50" t="str">
        <f t="shared" si="0"/>
        <v>JSC-smallbusiness@mail.nasa.gov</v>
      </c>
      <c r="U50" s="1" t="s">
        <v>64</v>
      </c>
      <c r="V50" s="1" t="s">
        <v>65</v>
      </c>
      <c r="W50" s="1" t="s">
        <v>66</v>
      </c>
      <c r="X50" s="1" t="s">
        <v>118</v>
      </c>
      <c r="Y50" s="1" t="s">
        <v>495</v>
      </c>
      <c r="Z50" s="1" t="s">
        <v>98</v>
      </c>
      <c r="AA50" s="1" t="s">
        <v>130</v>
      </c>
      <c r="AB50" s="1" t="s">
        <v>100</v>
      </c>
      <c r="AC50" s="1" t="s">
        <v>230</v>
      </c>
      <c r="AD50" s="3"/>
      <c r="AE50" s="1"/>
      <c r="AF50" s="1"/>
      <c r="AG50" s="1" t="s">
        <v>74</v>
      </c>
      <c r="AH50" s="1"/>
      <c r="AI50" s="1" t="s">
        <v>143</v>
      </c>
      <c r="AJ50" s="1" t="s">
        <v>64</v>
      </c>
      <c r="AK50" s="1" t="s">
        <v>76</v>
      </c>
      <c r="AL50" s="1" t="s">
        <v>104</v>
      </c>
      <c r="AM50" s="1" t="s">
        <v>77</v>
      </c>
      <c r="AN50" s="1" t="s">
        <v>347</v>
      </c>
      <c r="AO50" s="1" t="s">
        <v>74</v>
      </c>
      <c r="AP50" s="1"/>
      <c r="AQ50" s="1"/>
      <c r="AR50" s="3" t="s">
        <v>526</v>
      </c>
      <c r="AS50" s="1" t="s">
        <v>83</v>
      </c>
      <c r="AT50" s="1" t="s">
        <v>84</v>
      </c>
    </row>
    <row r="51" spans="1:46" ht="19.899999999999999" customHeight="1" x14ac:dyDescent="0.25">
      <c r="A51" s="1" t="s">
        <v>464</v>
      </c>
      <c r="B51" s="1" t="s">
        <v>527</v>
      </c>
      <c r="C51" s="1" t="s">
        <v>48</v>
      </c>
      <c r="D51" s="1" t="s">
        <v>86</v>
      </c>
      <c r="E51" s="1" t="s">
        <v>87</v>
      </c>
      <c r="F51" s="1" t="s">
        <v>108</v>
      </c>
      <c r="G51" s="2">
        <v>10115</v>
      </c>
      <c r="H51" s="1" t="s">
        <v>528</v>
      </c>
      <c r="I51" s="1" t="s">
        <v>529</v>
      </c>
      <c r="J51" s="1" t="s">
        <v>530</v>
      </c>
      <c r="K51" s="1" t="s">
        <v>492</v>
      </c>
      <c r="L51" s="1" t="s">
        <v>55</v>
      </c>
      <c r="M51" s="1" t="s">
        <v>188</v>
      </c>
      <c r="N51" s="1" t="s">
        <v>91</v>
      </c>
      <c r="O51" s="1" t="s">
        <v>92</v>
      </c>
      <c r="P51" s="1" t="s">
        <v>154</v>
      </c>
      <c r="Q51" s="1" t="s">
        <v>190</v>
      </c>
      <c r="R51" s="1" t="s">
        <v>61</v>
      </c>
      <c r="S51" s="1" t="s">
        <v>473</v>
      </c>
      <c r="T51" t="str">
        <f t="shared" si="0"/>
        <v>JSC-smallbusiness@mail.nasa.gov</v>
      </c>
      <c r="U51" s="1" t="s">
        <v>94</v>
      </c>
      <c r="V51" s="1" t="s">
        <v>143</v>
      </c>
      <c r="W51" s="1" t="s">
        <v>66</v>
      </c>
      <c r="X51" s="1" t="s">
        <v>118</v>
      </c>
      <c r="Y51" s="1" t="s">
        <v>495</v>
      </c>
      <c r="Z51" s="1" t="s">
        <v>69</v>
      </c>
      <c r="AA51" s="1" t="s">
        <v>130</v>
      </c>
      <c r="AB51" s="1" t="s">
        <v>194</v>
      </c>
      <c r="AC51" s="1" t="s">
        <v>334</v>
      </c>
      <c r="AD51" s="3" t="s">
        <v>531</v>
      </c>
      <c r="AE51" s="1"/>
      <c r="AF51" s="1"/>
      <c r="AG51" s="1" t="s">
        <v>74</v>
      </c>
      <c r="AH51" s="1"/>
      <c r="AI51" s="1" t="s">
        <v>95</v>
      </c>
      <c r="AJ51" s="1" t="s">
        <v>94</v>
      </c>
      <c r="AK51" s="1" t="s">
        <v>76</v>
      </c>
      <c r="AL51" s="1" t="s">
        <v>197</v>
      </c>
      <c r="AM51" s="1" t="s">
        <v>77</v>
      </c>
      <c r="AN51" s="1" t="s">
        <v>115</v>
      </c>
      <c r="AO51" s="1" t="s">
        <v>167</v>
      </c>
      <c r="AP51" s="1"/>
      <c r="AQ51" s="1"/>
      <c r="AR51" s="3" t="s">
        <v>532</v>
      </c>
      <c r="AS51" s="1" t="s">
        <v>83</v>
      </c>
      <c r="AT51" s="1" t="s">
        <v>84</v>
      </c>
    </row>
    <row r="52" spans="1:46" ht="19.899999999999999" customHeight="1" x14ac:dyDescent="0.25">
      <c r="A52" s="1" t="s">
        <v>464</v>
      </c>
      <c r="B52" s="1" t="s">
        <v>476</v>
      </c>
      <c r="C52" s="1" t="s">
        <v>48</v>
      </c>
      <c r="D52" s="1" t="s">
        <v>49</v>
      </c>
      <c r="E52" s="1" t="s">
        <v>49</v>
      </c>
      <c r="F52" s="1" t="s">
        <v>49</v>
      </c>
      <c r="G52" s="2">
        <v>10127</v>
      </c>
      <c r="H52" s="1" t="s">
        <v>533</v>
      </c>
      <c r="I52" s="1" t="s">
        <v>534</v>
      </c>
      <c r="J52" s="1" t="s">
        <v>535</v>
      </c>
      <c r="K52" s="1" t="s">
        <v>153</v>
      </c>
      <c r="L52" s="1" t="s">
        <v>55</v>
      </c>
      <c r="M52" s="1" t="s">
        <v>536</v>
      </c>
      <c r="N52" s="1" t="s">
        <v>537</v>
      </c>
      <c r="O52" s="1" t="s">
        <v>538</v>
      </c>
      <c r="P52" s="1" t="s">
        <v>154</v>
      </c>
      <c r="Q52" s="1" t="s">
        <v>539</v>
      </c>
      <c r="R52" s="1" t="s">
        <v>61</v>
      </c>
      <c r="S52" s="1" t="s">
        <v>473</v>
      </c>
      <c r="T52" t="str">
        <f t="shared" si="0"/>
        <v>JSC-smallbusiness@mail.nasa.gov</v>
      </c>
      <c r="U52" s="1" t="s">
        <v>64</v>
      </c>
      <c r="V52" s="1" t="s">
        <v>95</v>
      </c>
      <c r="W52" s="1" t="s">
        <v>129</v>
      </c>
      <c r="X52" s="1" t="s">
        <v>409</v>
      </c>
      <c r="Y52" s="1" t="s">
        <v>540</v>
      </c>
      <c r="Z52" s="1" t="s">
        <v>98</v>
      </c>
      <c r="AA52" s="1" t="s">
        <v>130</v>
      </c>
      <c r="AB52" s="1" t="s">
        <v>87</v>
      </c>
      <c r="AC52" s="1" t="s">
        <v>263</v>
      </c>
      <c r="AD52" s="3" t="s">
        <v>541</v>
      </c>
      <c r="AE52" s="1" t="s">
        <v>409</v>
      </c>
      <c r="AF52" s="1" t="s">
        <v>409</v>
      </c>
      <c r="AG52" s="1" t="s">
        <v>74</v>
      </c>
      <c r="AH52" s="1"/>
      <c r="AI52" s="1" t="s">
        <v>114</v>
      </c>
      <c r="AJ52" s="1" t="s">
        <v>64</v>
      </c>
      <c r="AK52" s="1" t="s">
        <v>120</v>
      </c>
      <c r="AL52" s="1" t="s">
        <v>346</v>
      </c>
      <c r="AM52" s="1" t="s">
        <v>115</v>
      </c>
      <c r="AN52" s="1" t="s">
        <v>105</v>
      </c>
      <c r="AO52" s="1" t="s">
        <v>79</v>
      </c>
      <c r="AP52" s="1" t="s">
        <v>120</v>
      </c>
      <c r="AQ52" s="1" t="s">
        <v>120</v>
      </c>
      <c r="AR52" s="3" t="s">
        <v>542</v>
      </c>
      <c r="AS52" s="1" t="s">
        <v>83</v>
      </c>
      <c r="AT52" s="1" t="s">
        <v>84</v>
      </c>
    </row>
    <row r="53" spans="1:46" ht="19.899999999999999" customHeight="1" x14ac:dyDescent="0.25">
      <c r="A53" s="1" t="s">
        <v>464</v>
      </c>
      <c r="B53" s="1" t="s">
        <v>543</v>
      </c>
      <c r="C53" s="1" t="s">
        <v>48</v>
      </c>
      <c r="D53" s="1" t="s">
        <v>49</v>
      </c>
      <c r="E53" s="1" t="s">
        <v>49</v>
      </c>
      <c r="F53" s="1" t="s">
        <v>49</v>
      </c>
      <c r="G53" s="2">
        <v>10128</v>
      </c>
      <c r="H53" s="1" t="s">
        <v>544</v>
      </c>
      <c r="I53" s="1" t="s">
        <v>545</v>
      </c>
      <c r="J53" s="1" t="s">
        <v>546</v>
      </c>
      <c r="K53" s="1" t="s">
        <v>492</v>
      </c>
      <c r="L53" s="1" t="s">
        <v>55</v>
      </c>
      <c r="M53" s="1" t="s">
        <v>329</v>
      </c>
      <c r="N53" s="1" t="s">
        <v>330</v>
      </c>
      <c r="O53" s="1" t="s">
        <v>331</v>
      </c>
      <c r="P53" s="1" t="s">
        <v>112</v>
      </c>
      <c r="Q53" s="1" t="s">
        <v>332</v>
      </c>
      <c r="R53" s="1" t="s">
        <v>61</v>
      </c>
      <c r="S53" s="1" t="s">
        <v>473</v>
      </c>
      <c r="T53" t="str">
        <f t="shared" si="0"/>
        <v>JSC-smallbusiness@mail.nasa.gov</v>
      </c>
      <c r="U53" s="1" t="s">
        <v>64</v>
      </c>
      <c r="V53" s="1" t="s">
        <v>65</v>
      </c>
      <c r="W53" s="1" t="s">
        <v>129</v>
      </c>
      <c r="X53" s="1" t="s">
        <v>67</v>
      </c>
      <c r="Y53" s="1" t="s">
        <v>547</v>
      </c>
      <c r="Z53" s="1" t="s">
        <v>98</v>
      </c>
      <c r="AA53" s="1" t="s">
        <v>130</v>
      </c>
      <c r="AB53" s="1" t="s">
        <v>146</v>
      </c>
      <c r="AC53" s="1" t="s">
        <v>72</v>
      </c>
      <c r="AD53" s="3" t="s">
        <v>548</v>
      </c>
      <c r="AE53" s="1"/>
      <c r="AF53" s="1"/>
      <c r="AG53" s="1" t="s">
        <v>74</v>
      </c>
      <c r="AH53" s="1"/>
      <c r="AI53" s="1" t="s">
        <v>95</v>
      </c>
      <c r="AJ53" s="1" t="s">
        <v>64</v>
      </c>
      <c r="AK53" s="1" t="s">
        <v>81</v>
      </c>
      <c r="AL53" s="1" t="s">
        <v>197</v>
      </c>
      <c r="AM53" s="1" t="s">
        <v>149</v>
      </c>
      <c r="AN53" s="1" t="s">
        <v>105</v>
      </c>
      <c r="AO53" s="1" t="s">
        <v>74</v>
      </c>
      <c r="AP53" s="1"/>
      <c r="AQ53" s="1"/>
      <c r="AR53" s="3" t="s">
        <v>549</v>
      </c>
      <c r="AS53" s="1" t="s">
        <v>83</v>
      </c>
      <c r="AT53" s="1" t="s">
        <v>84</v>
      </c>
    </row>
    <row r="54" spans="1:46" ht="19.899999999999999" customHeight="1" x14ac:dyDescent="0.25">
      <c r="A54" s="1" t="s">
        <v>464</v>
      </c>
      <c r="B54" s="1" t="s">
        <v>476</v>
      </c>
      <c r="C54" s="1" t="s">
        <v>48</v>
      </c>
      <c r="D54" s="1" t="s">
        <v>49</v>
      </c>
      <c r="E54" s="1" t="s">
        <v>49</v>
      </c>
      <c r="F54" s="1" t="s">
        <v>49</v>
      </c>
      <c r="G54" s="2">
        <v>10163</v>
      </c>
      <c r="H54" s="1" t="s">
        <v>550</v>
      </c>
      <c r="I54" s="1" t="s">
        <v>551</v>
      </c>
      <c r="J54" s="1"/>
      <c r="K54" s="1" t="s">
        <v>552</v>
      </c>
      <c r="L54" s="1" t="s">
        <v>55</v>
      </c>
      <c r="M54" s="1" t="s">
        <v>553</v>
      </c>
      <c r="N54" s="1" t="s">
        <v>554</v>
      </c>
      <c r="O54" s="1" t="s">
        <v>555</v>
      </c>
      <c r="P54" s="1" t="s">
        <v>154</v>
      </c>
      <c r="Q54" s="1" t="s">
        <v>556</v>
      </c>
      <c r="R54" s="1" t="s">
        <v>61</v>
      </c>
      <c r="S54" s="1" t="s">
        <v>473</v>
      </c>
      <c r="T54" t="str">
        <f t="shared" si="0"/>
        <v>JSC-smallbusiness@mail.nasa.gov</v>
      </c>
      <c r="U54" s="1" t="s">
        <v>64</v>
      </c>
      <c r="V54" s="1" t="s">
        <v>65</v>
      </c>
      <c r="W54" s="1" t="s">
        <v>129</v>
      </c>
      <c r="X54" s="1" t="s">
        <v>366</v>
      </c>
      <c r="Y54" s="1"/>
      <c r="Z54" s="1" t="s">
        <v>98</v>
      </c>
      <c r="AA54" s="1" t="s">
        <v>130</v>
      </c>
      <c r="AB54" s="1" t="s">
        <v>87</v>
      </c>
      <c r="AC54" s="1" t="s">
        <v>72</v>
      </c>
      <c r="AD54" s="3" t="s">
        <v>557</v>
      </c>
      <c r="AE54" s="1"/>
      <c r="AF54" s="1"/>
      <c r="AG54" s="1" t="s">
        <v>74</v>
      </c>
      <c r="AH54" s="1"/>
      <c r="AI54" s="1" t="s">
        <v>65</v>
      </c>
      <c r="AJ54" s="1" t="s">
        <v>64</v>
      </c>
      <c r="AK54" s="1" t="s">
        <v>120</v>
      </c>
      <c r="AL54" s="1" t="s">
        <v>346</v>
      </c>
      <c r="AM54" s="1" t="s">
        <v>182</v>
      </c>
      <c r="AN54" s="1" t="s">
        <v>105</v>
      </c>
      <c r="AO54" s="1" t="s">
        <v>74</v>
      </c>
      <c r="AP54" s="1"/>
      <c r="AQ54" s="1"/>
      <c r="AR54" s="3" t="s">
        <v>558</v>
      </c>
      <c r="AS54" s="1" t="s">
        <v>83</v>
      </c>
      <c r="AT54" s="1" t="s">
        <v>84</v>
      </c>
    </row>
    <row r="55" spans="1:46" ht="19.899999999999999" customHeight="1" x14ac:dyDescent="0.25">
      <c r="A55" s="1" t="s">
        <v>464</v>
      </c>
      <c r="B55" s="1" t="s">
        <v>559</v>
      </c>
      <c r="C55" s="1" t="s">
        <v>48</v>
      </c>
      <c r="D55" s="1" t="s">
        <v>86</v>
      </c>
      <c r="E55" s="1" t="s">
        <v>87</v>
      </c>
      <c r="F55" s="1" t="s">
        <v>108</v>
      </c>
      <c r="G55" s="2">
        <v>10167</v>
      </c>
      <c r="H55" s="1" t="s">
        <v>560</v>
      </c>
      <c r="I55" s="1" t="s">
        <v>561</v>
      </c>
      <c r="J55" s="1"/>
      <c r="K55" s="1" t="s">
        <v>115</v>
      </c>
      <c r="L55" s="1" t="s">
        <v>115</v>
      </c>
      <c r="M55" s="1" t="s">
        <v>522</v>
      </c>
      <c r="N55" s="1" t="s">
        <v>562</v>
      </c>
      <c r="O55" s="1" t="s">
        <v>563</v>
      </c>
      <c r="P55" s="1" t="s">
        <v>112</v>
      </c>
      <c r="Q55" s="1" t="s">
        <v>525</v>
      </c>
      <c r="R55" s="1" t="s">
        <v>115</v>
      </c>
      <c r="S55" s="1" t="s">
        <v>473</v>
      </c>
      <c r="T55" t="str">
        <f t="shared" si="0"/>
        <v>JSC-smallbusiness@mail.nasa.gov</v>
      </c>
      <c r="U55" s="1" t="s">
        <v>94</v>
      </c>
      <c r="V55" s="1" t="s">
        <v>95</v>
      </c>
      <c r="W55" s="1" t="s">
        <v>129</v>
      </c>
      <c r="X55" s="1" t="s">
        <v>67</v>
      </c>
      <c r="Y55" s="1" t="s">
        <v>564</v>
      </c>
      <c r="Z55" s="1" t="s">
        <v>115</v>
      </c>
      <c r="AA55" s="1" t="s">
        <v>115</v>
      </c>
      <c r="AB55" s="1" t="s">
        <v>87</v>
      </c>
      <c r="AC55" s="1" t="s">
        <v>101</v>
      </c>
      <c r="AD55" s="3" t="s">
        <v>565</v>
      </c>
      <c r="AE55" s="1"/>
      <c r="AF55" s="1"/>
      <c r="AG55" s="1" t="s">
        <v>74</v>
      </c>
      <c r="AH55" s="1"/>
      <c r="AI55" s="1" t="s">
        <v>114</v>
      </c>
      <c r="AJ55" s="1" t="s">
        <v>94</v>
      </c>
      <c r="AK55" s="1" t="s">
        <v>76</v>
      </c>
      <c r="AL55" s="1" t="s">
        <v>207</v>
      </c>
      <c r="AM55" s="1" t="s">
        <v>77</v>
      </c>
      <c r="AN55" s="1" t="s">
        <v>115</v>
      </c>
      <c r="AO55" s="1" t="s">
        <v>167</v>
      </c>
      <c r="AP55" s="1"/>
      <c r="AQ55" s="1"/>
      <c r="AR55" s="3" t="s">
        <v>566</v>
      </c>
      <c r="AS55" s="1" t="s">
        <v>83</v>
      </c>
      <c r="AT55" s="1" t="s">
        <v>84</v>
      </c>
    </row>
    <row r="56" spans="1:46" ht="19.899999999999999" customHeight="1" x14ac:dyDescent="0.25">
      <c r="A56" s="1" t="s">
        <v>464</v>
      </c>
      <c r="B56" s="1" t="s">
        <v>476</v>
      </c>
      <c r="C56" s="1" t="s">
        <v>48</v>
      </c>
      <c r="D56" s="1" t="s">
        <v>86</v>
      </c>
      <c r="E56" s="1" t="s">
        <v>87</v>
      </c>
      <c r="F56" s="1" t="s">
        <v>108</v>
      </c>
      <c r="G56" s="2">
        <v>10169</v>
      </c>
      <c r="H56" s="1" t="s">
        <v>567</v>
      </c>
      <c r="I56" s="1" t="s">
        <v>568</v>
      </c>
      <c r="J56" s="1"/>
      <c r="K56" s="1" t="s">
        <v>115</v>
      </c>
      <c r="L56" s="1" t="s">
        <v>55</v>
      </c>
      <c r="M56" s="1" t="s">
        <v>569</v>
      </c>
      <c r="N56" s="1" t="s">
        <v>570</v>
      </c>
      <c r="O56" s="1" t="s">
        <v>571</v>
      </c>
      <c r="P56" s="1" t="s">
        <v>246</v>
      </c>
      <c r="Q56" s="1" t="s">
        <v>572</v>
      </c>
      <c r="R56" s="1" t="s">
        <v>61</v>
      </c>
      <c r="S56" s="1" t="s">
        <v>473</v>
      </c>
      <c r="T56" t="str">
        <f t="shared" si="0"/>
        <v>JSC-smallbusiness@mail.nasa.gov</v>
      </c>
      <c r="U56" s="1" t="s">
        <v>94</v>
      </c>
      <c r="V56" s="1" t="s">
        <v>65</v>
      </c>
      <c r="W56" s="1" t="s">
        <v>129</v>
      </c>
      <c r="X56" s="1" t="s">
        <v>352</v>
      </c>
      <c r="Y56" s="1" t="s">
        <v>68</v>
      </c>
      <c r="Z56" s="1" t="s">
        <v>98</v>
      </c>
      <c r="AA56" s="1" t="s">
        <v>130</v>
      </c>
      <c r="AB56" s="1" t="s">
        <v>87</v>
      </c>
      <c r="AC56" s="1" t="s">
        <v>247</v>
      </c>
      <c r="AD56" s="3" t="s">
        <v>573</v>
      </c>
      <c r="AE56" s="1"/>
      <c r="AF56" s="1"/>
      <c r="AG56" s="1" t="s">
        <v>74</v>
      </c>
      <c r="AH56" s="1"/>
      <c r="AI56" s="1" t="s">
        <v>114</v>
      </c>
      <c r="AJ56" s="1" t="s">
        <v>94</v>
      </c>
      <c r="AK56" s="1" t="s">
        <v>76</v>
      </c>
      <c r="AL56" s="1" t="s">
        <v>104</v>
      </c>
      <c r="AM56" s="1" t="s">
        <v>182</v>
      </c>
      <c r="AN56" s="1" t="s">
        <v>105</v>
      </c>
      <c r="AO56" s="1" t="s">
        <v>167</v>
      </c>
      <c r="AP56" s="1"/>
      <c r="AQ56" s="1"/>
      <c r="AR56" s="3" t="s">
        <v>574</v>
      </c>
      <c r="AS56" s="1" t="s">
        <v>83</v>
      </c>
      <c r="AT56" s="1" t="s">
        <v>84</v>
      </c>
    </row>
    <row r="57" spans="1:46" ht="19.899999999999999" customHeight="1" x14ac:dyDescent="0.25">
      <c r="A57" s="1" t="s">
        <v>464</v>
      </c>
      <c r="B57" s="1" t="s">
        <v>476</v>
      </c>
      <c r="C57" s="1" t="s">
        <v>48</v>
      </c>
      <c r="D57" s="1" t="s">
        <v>170</v>
      </c>
      <c r="E57" s="1" t="s">
        <v>170</v>
      </c>
      <c r="F57" s="1" t="s">
        <v>108</v>
      </c>
      <c r="G57" s="2">
        <v>10171</v>
      </c>
      <c r="H57" s="1" t="s">
        <v>575</v>
      </c>
      <c r="I57" s="1" t="s">
        <v>576</v>
      </c>
      <c r="J57" s="1"/>
      <c r="K57" s="1" t="s">
        <v>153</v>
      </c>
      <c r="L57" s="1" t="s">
        <v>55</v>
      </c>
      <c r="M57" s="1" t="s">
        <v>522</v>
      </c>
      <c r="N57" s="1" t="s">
        <v>577</v>
      </c>
      <c r="O57" s="1" t="s">
        <v>578</v>
      </c>
      <c r="P57" s="1" t="s">
        <v>400</v>
      </c>
      <c r="Q57" s="1" t="s">
        <v>525</v>
      </c>
      <c r="R57" s="1" t="s">
        <v>61</v>
      </c>
      <c r="S57" s="1" t="s">
        <v>473</v>
      </c>
      <c r="T57" t="str">
        <f t="shared" si="0"/>
        <v>JSC-smallbusiness@mail.nasa.gov</v>
      </c>
      <c r="U57" s="1" t="s">
        <v>94</v>
      </c>
      <c r="V57" s="1" t="s">
        <v>143</v>
      </c>
      <c r="W57" s="1" t="s">
        <v>129</v>
      </c>
      <c r="X57" s="1" t="s">
        <v>228</v>
      </c>
      <c r="Y57" s="1"/>
      <c r="Z57" s="1" t="s">
        <v>115</v>
      </c>
      <c r="AA57" s="1" t="s">
        <v>115</v>
      </c>
      <c r="AB57" s="1" t="s">
        <v>100</v>
      </c>
      <c r="AC57" s="1" t="s">
        <v>167</v>
      </c>
      <c r="AD57" s="3" t="s">
        <v>579</v>
      </c>
      <c r="AE57" s="1"/>
      <c r="AF57" s="1"/>
      <c r="AG57" s="1" t="s">
        <v>74</v>
      </c>
      <c r="AH57" s="1" t="s">
        <v>580</v>
      </c>
      <c r="AI57" s="1" t="s">
        <v>114</v>
      </c>
      <c r="AJ57" s="1" t="s">
        <v>94</v>
      </c>
      <c r="AK57" s="1" t="s">
        <v>76</v>
      </c>
      <c r="AL57" s="1" t="s">
        <v>68</v>
      </c>
      <c r="AM57" s="1" t="s">
        <v>133</v>
      </c>
      <c r="AN57" s="1" t="s">
        <v>115</v>
      </c>
      <c r="AO57" s="1" t="s">
        <v>167</v>
      </c>
      <c r="AP57" s="1"/>
      <c r="AQ57" s="1"/>
      <c r="AR57" s="3" t="s">
        <v>581</v>
      </c>
      <c r="AS57" s="1" t="s">
        <v>83</v>
      </c>
      <c r="AT57" s="1" t="s">
        <v>84</v>
      </c>
    </row>
    <row r="58" spans="1:46" ht="19.899999999999999" customHeight="1" x14ac:dyDescent="0.25">
      <c r="A58" s="1" t="s">
        <v>464</v>
      </c>
      <c r="B58" s="1" t="s">
        <v>476</v>
      </c>
      <c r="C58" s="1" t="s">
        <v>48</v>
      </c>
      <c r="D58" s="1" t="s">
        <v>86</v>
      </c>
      <c r="E58" s="1" t="s">
        <v>87</v>
      </c>
      <c r="F58" s="1" t="s">
        <v>108</v>
      </c>
      <c r="G58" s="2">
        <v>10172</v>
      </c>
      <c r="H58" s="1" t="s">
        <v>582</v>
      </c>
      <c r="I58" s="1" t="s">
        <v>583</v>
      </c>
      <c r="J58" s="1"/>
      <c r="K58" s="1" t="s">
        <v>153</v>
      </c>
      <c r="L58" s="1" t="s">
        <v>55</v>
      </c>
      <c r="M58" s="1" t="s">
        <v>522</v>
      </c>
      <c r="N58" s="1" t="s">
        <v>91</v>
      </c>
      <c r="O58" s="1" t="s">
        <v>92</v>
      </c>
      <c r="P58" s="1" t="s">
        <v>584</v>
      </c>
      <c r="Q58" s="1" t="s">
        <v>525</v>
      </c>
      <c r="R58" s="1" t="s">
        <v>61</v>
      </c>
      <c r="S58" s="1" t="s">
        <v>473</v>
      </c>
      <c r="T58" t="str">
        <f t="shared" si="0"/>
        <v>JSC-smallbusiness@mail.nasa.gov</v>
      </c>
      <c r="U58" s="1" t="s">
        <v>119</v>
      </c>
      <c r="V58" s="1" t="s">
        <v>114</v>
      </c>
      <c r="W58" s="1" t="s">
        <v>66</v>
      </c>
      <c r="X58" s="1" t="s">
        <v>118</v>
      </c>
      <c r="Y58" s="1"/>
      <c r="Z58" s="1" t="s">
        <v>69</v>
      </c>
      <c r="AA58" s="1" t="s">
        <v>130</v>
      </c>
      <c r="AB58" s="1" t="s">
        <v>100</v>
      </c>
      <c r="AC58" s="1" t="s">
        <v>585</v>
      </c>
      <c r="AD58" s="3" t="s">
        <v>586</v>
      </c>
      <c r="AE58" s="1"/>
      <c r="AF58" s="1"/>
      <c r="AG58" s="1" t="s">
        <v>74</v>
      </c>
      <c r="AH58" s="1"/>
      <c r="AI58" s="1" t="s">
        <v>95</v>
      </c>
      <c r="AJ58" s="1" t="s">
        <v>94</v>
      </c>
      <c r="AK58" s="1" t="s">
        <v>76</v>
      </c>
      <c r="AL58" s="1" t="s">
        <v>104</v>
      </c>
      <c r="AM58" s="1" t="s">
        <v>133</v>
      </c>
      <c r="AN58" s="1" t="s">
        <v>105</v>
      </c>
      <c r="AO58" s="1" t="s">
        <v>74</v>
      </c>
      <c r="AP58" s="1"/>
      <c r="AQ58" s="1"/>
      <c r="AR58" s="3" t="s">
        <v>587</v>
      </c>
      <c r="AS58" s="1" t="s">
        <v>83</v>
      </c>
      <c r="AT58" s="1" t="s">
        <v>84</v>
      </c>
    </row>
    <row r="59" spans="1:46" ht="19.899999999999999" customHeight="1" x14ac:dyDescent="0.25">
      <c r="A59" s="1" t="s">
        <v>464</v>
      </c>
      <c r="B59" s="1" t="s">
        <v>465</v>
      </c>
      <c r="C59" s="1" t="s">
        <v>48</v>
      </c>
      <c r="D59" s="1" t="s">
        <v>170</v>
      </c>
      <c r="E59" s="1" t="s">
        <v>170</v>
      </c>
      <c r="F59" s="1" t="s">
        <v>108</v>
      </c>
      <c r="G59" s="2">
        <v>10175</v>
      </c>
      <c r="H59" s="1" t="s">
        <v>588</v>
      </c>
      <c r="I59" s="1" t="s">
        <v>467</v>
      </c>
      <c r="J59" s="1"/>
      <c r="K59" s="1"/>
      <c r="L59" s="1"/>
      <c r="M59" s="1" t="s">
        <v>469</v>
      </c>
      <c r="N59" s="1" t="s">
        <v>470</v>
      </c>
      <c r="O59" s="1" t="s">
        <v>471</v>
      </c>
      <c r="P59" s="1" t="s">
        <v>400</v>
      </c>
      <c r="Q59" s="1" t="s">
        <v>472</v>
      </c>
      <c r="R59" s="1"/>
      <c r="S59" s="1" t="s">
        <v>473</v>
      </c>
      <c r="T59" t="str">
        <f t="shared" si="0"/>
        <v>JSC-smallbusiness@mail.nasa.gov</v>
      </c>
      <c r="U59" s="1"/>
      <c r="V59" s="1"/>
      <c r="W59" s="1" t="s">
        <v>129</v>
      </c>
      <c r="X59" s="1"/>
      <c r="Y59" s="1" t="s">
        <v>68</v>
      </c>
      <c r="Z59" s="1"/>
      <c r="AA59" s="1"/>
      <c r="AB59" s="1"/>
      <c r="AC59" s="1"/>
      <c r="AD59" s="3" t="s">
        <v>589</v>
      </c>
      <c r="AE59" s="1"/>
      <c r="AF59" s="1"/>
      <c r="AG59" s="1" t="s">
        <v>74</v>
      </c>
      <c r="AH59" s="1" t="s">
        <v>590</v>
      </c>
      <c r="AI59" s="1"/>
      <c r="AJ59" s="1"/>
      <c r="AK59" s="1"/>
      <c r="AL59" s="1" t="s">
        <v>197</v>
      </c>
      <c r="AM59" s="1"/>
      <c r="AN59" s="1" t="s">
        <v>105</v>
      </c>
      <c r="AO59" s="1"/>
      <c r="AP59" s="1"/>
      <c r="AQ59" s="1"/>
      <c r="AR59" s="3" t="s">
        <v>591</v>
      </c>
      <c r="AS59" s="1" t="s">
        <v>83</v>
      </c>
      <c r="AT59" s="1" t="s">
        <v>84</v>
      </c>
    </row>
    <row r="60" spans="1:46" ht="19.899999999999999" customHeight="1" x14ac:dyDescent="0.25">
      <c r="A60" s="1" t="s">
        <v>464</v>
      </c>
      <c r="B60" s="1" t="s">
        <v>476</v>
      </c>
      <c r="C60" s="1" t="s">
        <v>48</v>
      </c>
      <c r="D60" s="1" t="s">
        <v>49</v>
      </c>
      <c r="E60" s="1" t="s">
        <v>49</v>
      </c>
      <c r="F60" s="1" t="s">
        <v>108</v>
      </c>
      <c r="G60" s="2">
        <v>10178</v>
      </c>
      <c r="H60" s="1" t="s">
        <v>592</v>
      </c>
      <c r="I60" s="1" t="s">
        <v>593</v>
      </c>
      <c r="J60" s="1"/>
      <c r="K60" s="1" t="s">
        <v>594</v>
      </c>
      <c r="L60" s="1" t="s">
        <v>55</v>
      </c>
      <c r="M60" s="1" t="s">
        <v>56</v>
      </c>
      <c r="N60" s="1" t="s">
        <v>595</v>
      </c>
      <c r="O60" s="1" t="s">
        <v>596</v>
      </c>
      <c r="P60" s="1" t="s">
        <v>154</v>
      </c>
      <c r="Q60" s="1" t="s">
        <v>60</v>
      </c>
      <c r="R60" s="1" t="s">
        <v>61</v>
      </c>
      <c r="S60" s="1" t="s">
        <v>473</v>
      </c>
      <c r="T60" t="str">
        <f t="shared" si="0"/>
        <v>JSC-smallbusiness@mail.nasa.gov</v>
      </c>
      <c r="U60" s="1" t="s">
        <v>94</v>
      </c>
      <c r="V60" s="1" t="s">
        <v>114</v>
      </c>
      <c r="W60" s="1" t="s">
        <v>129</v>
      </c>
      <c r="X60" s="1" t="s">
        <v>366</v>
      </c>
      <c r="Y60" s="1" t="s">
        <v>597</v>
      </c>
      <c r="Z60" s="1" t="s">
        <v>69</v>
      </c>
      <c r="AA60" s="1" t="s">
        <v>130</v>
      </c>
      <c r="AB60" s="1" t="s">
        <v>598</v>
      </c>
      <c r="AC60" s="1" t="s">
        <v>131</v>
      </c>
      <c r="AD60" s="3" t="s">
        <v>599</v>
      </c>
      <c r="AE60" s="1"/>
      <c r="AF60" s="1"/>
      <c r="AG60" s="1" t="s">
        <v>74</v>
      </c>
      <c r="AH60" s="1"/>
      <c r="AI60" s="1" t="s">
        <v>114</v>
      </c>
      <c r="AJ60" s="1" t="s">
        <v>196</v>
      </c>
      <c r="AK60" s="1" t="s">
        <v>81</v>
      </c>
      <c r="AL60" s="1" t="s">
        <v>346</v>
      </c>
      <c r="AM60" s="1" t="s">
        <v>115</v>
      </c>
      <c r="AN60" s="1" t="s">
        <v>600</v>
      </c>
      <c r="AO60" s="1" t="s">
        <v>167</v>
      </c>
      <c r="AP60" s="1"/>
      <c r="AQ60" s="1"/>
      <c r="AR60" s="3" t="s">
        <v>601</v>
      </c>
      <c r="AS60" s="1" t="s">
        <v>83</v>
      </c>
      <c r="AT60" s="1" t="s">
        <v>84</v>
      </c>
    </row>
    <row r="61" spans="1:46" ht="19.899999999999999" customHeight="1" x14ac:dyDescent="0.25">
      <c r="A61" s="1" t="s">
        <v>464</v>
      </c>
      <c r="B61" s="1" t="s">
        <v>476</v>
      </c>
      <c r="C61" s="1" t="s">
        <v>48</v>
      </c>
      <c r="D61" s="1" t="s">
        <v>49</v>
      </c>
      <c r="E61" s="1" t="s">
        <v>49</v>
      </c>
      <c r="F61" s="1" t="s">
        <v>108</v>
      </c>
      <c r="G61" s="2">
        <v>10179</v>
      </c>
      <c r="H61" s="1" t="s">
        <v>602</v>
      </c>
      <c r="I61" s="1" t="s">
        <v>593</v>
      </c>
      <c r="J61" s="1"/>
      <c r="K61" s="1" t="s">
        <v>603</v>
      </c>
      <c r="L61" s="1" t="s">
        <v>55</v>
      </c>
      <c r="M61" s="1" t="s">
        <v>56</v>
      </c>
      <c r="N61" s="1" t="s">
        <v>595</v>
      </c>
      <c r="O61" s="1" t="s">
        <v>596</v>
      </c>
      <c r="P61" s="1" t="s">
        <v>154</v>
      </c>
      <c r="Q61" s="1" t="s">
        <v>60</v>
      </c>
      <c r="R61" s="1" t="s">
        <v>61</v>
      </c>
      <c r="S61" s="1" t="s">
        <v>473</v>
      </c>
      <c r="T61" t="str">
        <f t="shared" si="0"/>
        <v>JSC-smallbusiness@mail.nasa.gov</v>
      </c>
      <c r="U61" s="1" t="s">
        <v>94</v>
      </c>
      <c r="V61" s="1" t="s">
        <v>114</v>
      </c>
      <c r="W61" s="1" t="s">
        <v>129</v>
      </c>
      <c r="X61" s="1" t="s">
        <v>366</v>
      </c>
      <c r="Y61" s="1" t="s">
        <v>604</v>
      </c>
      <c r="Z61" s="1" t="s">
        <v>98</v>
      </c>
      <c r="AA61" s="1" t="s">
        <v>130</v>
      </c>
      <c r="AB61" s="1" t="s">
        <v>598</v>
      </c>
      <c r="AC61" s="1" t="s">
        <v>131</v>
      </c>
      <c r="AD61" s="3" t="s">
        <v>605</v>
      </c>
      <c r="AE61" s="1"/>
      <c r="AF61" s="1"/>
      <c r="AG61" s="1" t="s">
        <v>74</v>
      </c>
      <c r="AH61" s="1"/>
      <c r="AI61" s="1" t="s">
        <v>114</v>
      </c>
      <c r="AJ61" s="1" t="s">
        <v>196</v>
      </c>
      <c r="AK61" s="1" t="s">
        <v>80</v>
      </c>
      <c r="AL61" s="1" t="s">
        <v>346</v>
      </c>
      <c r="AM61" s="1" t="s">
        <v>133</v>
      </c>
      <c r="AN61" s="1" t="s">
        <v>600</v>
      </c>
      <c r="AO61" s="1" t="s">
        <v>167</v>
      </c>
      <c r="AP61" s="1"/>
      <c r="AQ61" s="1"/>
      <c r="AR61" s="3" t="s">
        <v>606</v>
      </c>
      <c r="AS61" s="1" t="s">
        <v>83</v>
      </c>
      <c r="AT61" s="1" t="s">
        <v>84</v>
      </c>
    </row>
    <row r="62" spans="1:46" ht="19.899999999999999" customHeight="1" x14ac:dyDescent="0.25">
      <c r="A62" s="1" t="s">
        <v>464</v>
      </c>
      <c r="B62" s="1" t="s">
        <v>476</v>
      </c>
      <c r="C62" s="1" t="s">
        <v>48</v>
      </c>
      <c r="D62" s="1" t="s">
        <v>86</v>
      </c>
      <c r="E62" s="1" t="s">
        <v>87</v>
      </c>
      <c r="F62" s="1" t="s">
        <v>108</v>
      </c>
      <c r="G62" s="2">
        <v>10180</v>
      </c>
      <c r="H62" s="1" t="s">
        <v>607</v>
      </c>
      <c r="I62" s="1" t="s">
        <v>593</v>
      </c>
      <c r="J62" s="1"/>
      <c r="K62" s="1" t="s">
        <v>254</v>
      </c>
      <c r="L62" s="1" t="s">
        <v>55</v>
      </c>
      <c r="M62" s="1" t="s">
        <v>56</v>
      </c>
      <c r="N62" s="1" t="s">
        <v>595</v>
      </c>
      <c r="O62" s="1" t="s">
        <v>596</v>
      </c>
      <c r="P62" s="1" t="s">
        <v>154</v>
      </c>
      <c r="Q62" s="1" t="s">
        <v>60</v>
      </c>
      <c r="R62" s="1" t="s">
        <v>61</v>
      </c>
      <c r="S62" s="1" t="s">
        <v>473</v>
      </c>
      <c r="T62" t="str">
        <f t="shared" si="0"/>
        <v>JSC-smallbusiness@mail.nasa.gov</v>
      </c>
      <c r="U62" s="1" t="s">
        <v>94</v>
      </c>
      <c r="V62" s="1" t="s">
        <v>114</v>
      </c>
      <c r="W62" s="1" t="s">
        <v>129</v>
      </c>
      <c r="X62" s="1" t="s">
        <v>366</v>
      </c>
      <c r="Y62" s="1" t="s">
        <v>608</v>
      </c>
      <c r="Z62" s="1" t="s">
        <v>98</v>
      </c>
      <c r="AA62" s="1" t="s">
        <v>130</v>
      </c>
      <c r="AB62" s="1" t="s">
        <v>598</v>
      </c>
      <c r="AC62" s="1" t="s">
        <v>131</v>
      </c>
      <c r="AD62" s="3" t="s">
        <v>609</v>
      </c>
      <c r="AE62" s="1"/>
      <c r="AF62" s="1"/>
      <c r="AG62" s="1" t="s">
        <v>74</v>
      </c>
      <c r="AH62" s="1"/>
      <c r="AI62" s="1" t="s">
        <v>114</v>
      </c>
      <c r="AJ62" s="1" t="s">
        <v>196</v>
      </c>
      <c r="AK62" s="1" t="s">
        <v>81</v>
      </c>
      <c r="AL62" s="1" t="s">
        <v>346</v>
      </c>
      <c r="AM62" s="1" t="s">
        <v>133</v>
      </c>
      <c r="AN62" s="1" t="s">
        <v>600</v>
      </c>
      <c r="AO62" s="1" t="s">
        <v>167</v>
      </c>
      <c r="AP62" s="1"/>
      <c r="AQ62" s="1"/>
      <c r="AR62" s="3" t="s">
        <v>610</v>
      </c>
      <c r="AS62" s="1" t="s">
        <v>83</v>
      </c>
      <c r="AT62" s="1" t="s">
        <v>84</v>
      </c>
    </row>
    <row r="63" spans="1:46" ht="19.899999999999999" customHeight="1" x14ac:dyDescent="0.25">
      <c r="A63" s="1" t="s">
        <v>464</v>
      </c>
      <c r="B63" s="1" t="s">
        <v>476</v>
      </c>
      <c r="C63" s="1" t="s">
        <v>48</v>
      </c>
      <c r="D63" s="1" t="s">
        <v>49</v>
      </c>
      <c r="E63" s="1" t="s">
        <v>49</v>
      </c>
      <c r="F63" s="1" t="s">
        <v>108</v>
      </c>
      <c r="G63" s="2">
        <v>10182</v>
      </c>
      <c r="H63" s="1" t="s">
        <v>611</v>
      </c>
      <c r="I63" s="1" t="s">
        <v>593</v>
      </c>
      <c r="J63" s="1"/>
      <c r="K63" s="1" t="s">
        <v>302</v>
      </c>
      <c r="L63" s="1" t="s">
        <v>55</v>
      </c>
      <c r="M63" s="1" t="s">
        <v>56</v>
      </c>
      <c r="N63" s="1" t="s">
        <v>595</v>
      </c>
      <c r="O63" s="1" t="s">
        <v>596</v>
      </c>
      <c r="P63" s="1" t="s">
        <v>154</v>
      </c>
      <c r="Q63" s="1" t="s">
        <v>60</v>
      </c>
      <c r="R63" s="1" t="s">
        <v>61</v>
      </c>
      <c r="S63" s="1" t="s">
        <v>473</v>
      </c>
      <c r="T63" t="str">
        <f t="shared" si="0"/>
        <v>JSC-smallbusiness@mail.nasa.gov</v>
      </c>
      <c r="U63" s="1" t="s">
        <v>94</v>
      </c>
      <c r="V63" s="1" t="s">
        <v>114</v>
      </c>
      <c r="W63" s="1" t="s">
        <v>129</v>
      </c>
      <c r="X63" s="1" t="s">
        <v>366</v>
      </c>
      <c r="Y63" s="1" t="s">
        <v>612</v>
      </c>
      <c r="Z63" s="1" t="s">
        <v>98</v>
      </c>
      <c r="AA63" s="1" t="s">
        <v>130</v>
      </c>
      <c r="AB63" s="1" t="s">
        <v>598</v>
      </c>
      <c r="AC63" s="1" t="s">
        <v>131</v>
      </c>
      <c r="AD63" s="3" t="s">
        <v>613</v>
      </c>
      <c r="AE63" s="1"/>
      <c r="AF63" s="1"/>
      <c r="AG63" s="1" t="s">
        <v>74</v>
      </c>
      <c r="AH63" s="1"/>
      <c r="AI63" s="1" t="s">
        <v>114</v>
      </c>
      <c r="AJ63" s="1" t="s">
        <v>196</v>
      </c>
      <c r="AK63" s="1" t="s">
        <v>81</v>
      </c>
      <c r="AL63" s="1" t="s">
        <v>346</v>
      </c>
      <c r="AM63" s="1" t="s">
        <v>133</v>
      </c>
      <c r="AN63" s="1" t="s">
        <v>115</v>
      </c>
      <c r="AO63" s="1" t="s">
        <v>167</v>
      </c>
      <c r="AP63" s="1"/>
      <c r="AQ63" s="1"/>
      <c r="AR63" s="3" t="s">
        <v>614</v>
      </c>
      <c r="AS63" s="1" t="s">
        <v>83</v>
      </c>
      <c r="AT63" s="1" t="s">
        <v>84</v>
      </c>
    </row>
    <row r="64" spans="1:46" ht="19.899999999999999" customHeight="1" x14ac:dyDescent="0.25">
      <c r="A64" s="1" t="s">
        <v>464</v>
      </c>
      <c r="B64" s="1" t="s">
        <v>476</v>
      </c>
      <c r="C64" s="1" t="s">
        <v>48</v>
      </c>
      <c r="D64" s="1" t="s">
        <v>86</v>
      </c>
      <c r="E64" s="1" t="s">
        <v>87</v>
      </c>
      <c r="F64" s="1" t="s">
        <v>108</v>
      </c>
      <c r="G64" s="2">
        <v>10183</v>
      </c>
      <c r="H64" s="1" t="s">
        <v>615</v>
      </c>
      <c r="I64" s="1" t="s">
        <v>616</v>
      </c>
      <c r="J64" s="1"/>
      <c r="K64" s="1" t="s">
        <v>492</v>
      </c>
      <c r="L64" s="1" t="s">
        <v>55</v>
      </c>
      <c r="M64" s="1" t="s">
        <v>56</v>
      </c>
      <c r="N64" s="1" t="s">
        <v>617</v>
      </c>
      <c r="O64" s="1" t="s">
        <v>618</v>
      </c>
      <c r="P64" s="1" t="s">
        <v>400</v>
      </c>
      <c r="Q64" s="1" t="s">
        <v>60</v>
      </c>
      <c r="R64" s="1" t="s">
        <v>61</v>
      </c>
      <c r="S64" s="1" t="s">
        <v>473</v>
      </c>
      <c r="T64" t="str">
        <f t="shared" si="0"/>
        <v>JSC-smallbusiness@mail.nasa.gov</v>
      </c>
      <c r="U64" s="1" t="s">
        <v>94</v>
      </c>
      <c r="V64" s="1" t="s">
        <v>114</v>
      </c>
      <c r="W64" s="1" t="s">
        <v>129</v>
      </c>
      <c r="X64" s="1" t="s">
        <v>144</v>
      </c>
      <c r="Y64" s="1" t="s">
        <v>495</v>
      </c>
      <c r="Z64" s="1" t="s">
        <v>98</v>
      </c>
      <c r="AA64" s="1" t="s">
        <v>130</v>
      </c>
      <c r="AB64" s="1" t="s">
        <v>87</v>
      </c>
      <c r="AC64" s="1" t="s">
        <v>131</v>
      </c>
      <c r="AD64" s="3" t="s">
        <v>619</v>
      </c>
      <c r="AE64" s="1"/>
      <c r="AF64" s="1"/>
      <c r="AG64" s="1" t="s">
        <v>74</v>
      </c>
      <c r="AH64" s="1"/>
      <c r="AI64" s="1" t="s">
        <v>114</v>
      </c>
      <c r="AJ64" s="1" t="s">
        <v>94</v>
      </c>
      <c r="AK64" s="1" t="s">
        <v>76</v>
      </c>
      <c r="AL64" s="1" t="s">
        <v>104</v>
      </c>
      <c r="AM64" s="1" t="s">
        <v>133</v>
      </c>
      <c r="AN64" s="1" t="s">
        <v>105</v>
      </c>
      <c r="AO64" s="1" t="s">
        <v>167</v>
      </c>
      <c r="AP64" s="1"/>
      <c r="AQ64" s="1"/>
      <c r="AR64" s="3" t="s">
        <v>620</v>
      </c>
      <c r="AS64" s="1" t="s">
        <v>83</v>
      </c>
      <c r="AT64" s="1" t="s">
        <v>84</v>
      </c>
    </row>
    <row r="65" spans="1:46" ht="19.899999999999999" customHeight="1" x14ac:dyDescent="0.25">
      <c r="A65" s="1" t="s">
        <v>464</v>
      </c>
      <c r="B65" s="1" t="s">
        <v>476</v>
      </c>
      <c r="C65" s="1" t="s">
        <v>48</v>
      </c>
      <c r="D65" s="1" t="s">
        <v>298</v>
      </c>
      <c r="E65" s="1" t="s">
        <v>87</v>
      </c>
      <c r="F65" s="1" t="s">
        <v>108</v>
      </c>
      <c r="G65" s="2">
        <v>10185</v>
      </c>
      <c r="H65" s="1" t="s">
        <v>621</v>
      </c>
      <c r="I65" s="1" t="s">
        <v>534</v>
      </c>
      <c r="J65" s="1"/>
      <c r="K65" s="1" t="s">
        <v>115</v>
      </c>
      <c r="L65" s="1" t="s">
        <v>115</v>
      </c>
      <c r="M65" s="1" t="s">
        <v>469</v>
      </c>
      <c r="N65" s="1" t="s">
        <v>126</v>
      </c>
      <c r="O65" s="1" t="s">
        <v>127</v>
      </c>
      <c r="P65" s="1" t="s">
        <v>154</v>
      </c>
      <c r="Q65" s="1" t="s">
        <v>472</v>
      </c>
      <c r="R65" s="1" t="s">
        <v>61</v>
      </c>
      <c r="S65" s="1" t="s">
        <v>473</v>
      </c>
      <c r="T65" t="str">
        <f t="shared" si="0"/>
        <v>JSC-smallbusiness@mail.nasa.gov</v>
      </c>
      <c r="U65" s="1" t="s">
        <v>64</v>
      </c>
      <c r="V65" s="1" t="s">
        <v>143</v>
      </c>
      <c r="W65" s="1" t="s">
        <v>129</v>
      </c>
      <c r="X65" s="1" t="s">
        <v>409</v>
      </c>
      <c r="Y65" s="1" t="s">
        <v>115</v>
      </c>
      <c r="Z65" s="1" t="s">
        <v>98</v>
      </c>
      <c r="AA65" s="1" t="s">
        <v>130</v>
      </c>
      <c r="AB65" s="1" t="s">
        <v>100</v>
      </c>
      <c r="AC65" s="1" t="s">
        <v>230</v>
      </c>
      <c r="AD65" s="3" t="s">
        <v>622</v>
      </c>
      <c r="AE65" s="1" t="s">
        <v>409</v>
      </c>
      <c r="AF65" s="1" t="s">
        <v>228</v>
      </c>
      <c r="AG65" s="1" t="s">
        <v>74</v>
      </c>
      <c r="AH65" s="1"/>
      <c r="AI65" s="1" t="s">
        <v>143</v>
      </c>
      <c r="AJ65" s="1" t="s">
        <v>64</v>
      </c>
      <c r="AK65" s="1" t="s">
        <v>345</v>
      </c>
      <c r="AL65" s="1" t="s">
        <v>346</v>
      </c>
      <c r="AM65" s="1"/>
      <c r="AN65" s="1" t="s">
        <v>105</v>
      </c>
      <c r="AO65" s="1" t="s">
        <v>79</v>
      </c>
      <c r="AP65" s="1" t="s">
        <v>120</v>
      </c>
      <c r="AQ65" s="1" t="s">
        <v>76</v>
      </c>
      <c r="AR65" s="3" t="s">
        <v>623</v>
      </c>
      <c r="AS65" s="1" t="s">
        <v>83</v>
      </c>
      <c r="AT65" s="1" t="s">
        <v>84</v>
      </c>
    </row>
    <row r="66" spans="1:46" ht="19.899999999999999" customHeight="1" x14ac:dyDescent="0.25">
      <c r="A66" s="1" t="s">
        <v>464</v>
      </c>
      <c r="B66" s="1" t="s">
        <v>476</v>
      </c>
      <c r="C66" s="1" t="s">
        <v>48</v>
      </c>
      <c r="D66" s="1" t="s">
        <v>298</v>
      </c>
      <c r="E66" s="1" t="s">
        <v>87</v>
      </c>
      <c r="F66" s="1" t="s">
        <v>108</v>
      </c>
      <c r="G66" s="2">
        <v>10188</v>
      </c>
      <c r="H66" s="1" t="s">
        <v>624</v>
      </c>
      <c r="I66" s="1" t="s">
        <v>534</v>
      </c>
      <c r="J66" s="1"/>
      <c r="K66" s="1" t="s">
        <v>552</v>
      </c>
      <c r="L66" s="1" t="s">
        <v>115</v>
      </c>
      <c r="M66" s="1" t="s">
        <v>56</v>
      </c>
      <c r="N66" s="1" t="s">
        <v>625</v>
      </c>
      <c r="O66" s="1" t="s">
        <v>626</v>
      </c>
      <c r="P66" s="1" t="s">
        <v>154</v>
      </c>
      <c r="Q66" s="1" t="s">
        <v>60</v>
      </c>
      <c r="R66" s="1" t="s">
        <v>61</v>
      </c>
      <c r="S66" s="1" t="s">
        <v>473</v>
      </c>
      <c r="T66" t="str">
        <f t="shared" si="0"/>
        <v>JSC-smallbusiness@mail.nasa.gov</v>
      </c>
      <c r="U66" s="1" t="s">
        <v>94</v>
      </c>
      <c r="V66" s="1" t="s">
        <v>95</v>
      </c>
      <c r="W66" s="1" t="s">
        <v>129</v>
      </c>
      <c r="X66" s="1" t="s">
        <v>366</v>
      </c>
      <c r="Y66" s="1" t="s">
        <v>627</v>
      </c>
      <c r="Z66" s="1" t="s">
        <v>98</v>
      </c>
      <c r="AA66" s="1" t="s">
        <v>130</v>
      </c>
      <c r="AB66" s="1" t="s">
        <v>87</v>
      </c>
      <c r="AC66" s="1" t="s">
        <v>101</v>
      </c>
      <c r="AD66" s="3" t="s">
        <v>628</v>
      </c>
      <c r="AE66" s="1"/>
      <c r="AF66" s="1"/>
      <c r="AG66" s="1" t="s">
        <v>74</v>
      </c>
      <c r="AH66" s="1"/>
      <c r="AI66" s="1" t="s">
        <v>114</v>
      </c>
      <c r="AJ66" s="1" t="s">
        <v>94</v>
      </c>
      <c r="AK66" s="1" t="s">
        <v>76</v>
      </c>
      <c r="AL66" s="1" t="s">
        <v>295</v>
      </c>
      <c r="AM66" s="1" t="s">
        <v>133</v>
      </c>
      <c r="AN66" s="1" t="s">
        <v>105</v>
      </c>
      <c r="AO66" s="1" t="s">
        <v>74</v>
      </c>
      <c r="AP66" s="1"/>
      <c r="AQ66" s="1"/>
      <c r="AR66" s="3" t="s">
        <v>629</v>
      </c>
      <c r="AS66" s="1" t="s">
        <v>83</v>
      </c>
      <c r="AT66" s="1" t="s">
        <v>84</v>
      </c>
    </row>
    <row r="67" spans="1:46" ht="19.899999999999999" customHeight="1" x14ac:dyDescent="0.25">
      <c r="A67" s="1" t="s">
        <v>464</v>
      </c>
      <c r="B67" s="1" t="s">
        <v>559</v>
      </c>
      <c r="C67" s="1" t="s">
        <v>48</v>
      </c>
      <c r="D67" s="1" t="s">
        <v>298</v>
      </c>
      <c r="E67" s="1" t="s">
        <v>87</v>
      </c>
      <c r="F67" s="1" t="s">
        <v>108</v>
      </c>
      <c r="G67" s="2">
        <v>10189</v>
      </c>
      <c r="H67" s="1" t="s">
        <v>630</v>
      </c>
      <c r="I67" s="1" t="s">
        <v>631</v>
      </c>
      <c r="J67" s="1"/>
      <c r="K67" s="1" t="s">
        <v>492</v>
      </c>
      <c r="L67" s="1" t="s">
        <v>55</v>
      </c>
      <c r="M67" s="1" t="s">
        <v>632</v>
      </c>
      <c r="N67" s="1" t="s">
        <v>633</v>
      </c>
      <c r="O67" s="1" t="s">
        <v>634</v>
      </c>
      <c r="P67" s="1" t="s">
        <v>154</v>
      </c>
      <c r="Q67" s="1" t="s">
        <v>635</v>
      </c>
      <c r="R67" s="1" t="s">
        <v>61</v>
      </c>
      <c r="S67" s="1" t="s">
        <v>473</v>
      </c>
      <c r="T67" t="str">
        <f t="shared" si="0"/>
        <v>JSC-smallbusiness@mail.nasa.gov</v>
      </c>
      <c r="U67" s="1" t="s">
        <v>94</v>
      </c>
      <c r="V67" s="1" t="s">
        <v>114</v>
      </c>
      <c r="W67" s="1" t="s">
        <v>129</v>
      </c>
      <c r="X67" s="1" t="s">
        <v>343</v>
      </c>
      <c r="Y67" s="1" t="s">
        <v>495</v>
      </c>
      <c r="Z67" s="1" t="s">
        <v>98</v>
      </c>
      <c r="AA67" s="1" t="s">
        <v>130</v>
      </c>
      <c r="AB67" s="1" t="s">
        <v>87</v>
      </c>
      <c r="AC67" s="1" t="s">
        <v>131</v>
      </c>
      <c r="AD67" s="3" t="s">
        <v>636</v>
      </c>
      <c r="AE67" s="1" t="s">
        <v>343</v>
      </c>
      <c r="AF67" s="1" t="s">
        <v>366</v>
      </c>
      <c r="AG67" s="1" t="s">
        <v>74</v>
      </c>
      <c r="AH67" s="1"/>
      <c r="AI67" s="1" t="s">
        <v>65</v>
      </c>
      <c r="AJ67" s="1" t="s">
        <v>64</v>
      </c>
      <c r="AK67" s="1" t="s">
        <v>76</v>
      </c>
      <c r="AL67" s="1" t="s">
        <v>346</v>
      </c>
      <c r="AM67" s="1" t="s">
        <v>77</v>
      </c>
      <c r="AN67" s="1" t="s">
        <v>105</v>
      </c>
      <c r="AO67" s="1" t="s">
        <v>79</v>
      </c>
      <c r="AP67" s="1" t="s">
        <v>81</v>
      </c>
      <c r="AQ67" s="1" t="s">
        <v>80</v>
      </c>
      <c r="AR67" s="3" t="s">
        <v>637</v>
      </c>
      <c r="AS67" s="1" t="s">
        <v>83</v>
      </c>
      <c r="AT67" s="1" t="s">
        <v>84</v>
      </c>
    </row>
    <row r="68" spans="1:46" ht="19.899999999999999" customHeight="1" x14ac:dyDescent="0.25">
      <c r="A68" s="1" t="s">
        <v>464</v>
      </c>
      <c r="B68" s="1" t="s">
        <v>559</v>
      </c>
      <c r="C68" s="1" t="s">
        <v>48</v>
      </c>
      <c r="D68" s="1" t="s">
        <v>298</v>
      </c>
      <c r="E68" s="1" t="s">
        <v>87</v>
      </c>
      <c r="F68" s="1" t="s">
        <v>108</v>
      </c>
      <c r="G68" s="2">
        <v>10195</v>
      </c>
      <c r="H68" s="1" t="s">
        <v>638</v>
      </c>
      <c r="I68" s="1" t="s">
        <v>639</v>
      </c>
      <c r="J68" s="1"/>
      <c r="K68" s="1" t="s">
        <v>115</v>
      </c>
      <c r="L68" s="1" t="s">
        <v>55</v>
      </c>
      <c r="M68" s="1" t="s">
        <v>278</v>
      </c>
      <c r="N68" s="1" t="s">
        <v>640</v>
      </c>
      <c r="O68" s="1" t="s">
        <v>641</v>
      </c>
      <c r="P68" s="1" t="s">
        <v>154</v>
      </c>
      <c r="Q68" s="1" t="s">
        <v>281</v>
      </c>
      <c r="R68" s="1" t="s">
        <v>61</v>
      </c>
      <c r="S68" s="1" t="s">
        <v>473</v>
      </c>
      <c r="T68" t="str">
        <f t="shared" si="0"/>
        <v>JSC-smallbusiness@mail.nasa.gov</v>
      </c>
      <c r="U68" s="1" t="s">
        <v>94</v>
      </c>
      <c r="V68" s="1" t="s">
        <v>95</v>
      </c>
      <c r="W68" s="1" t="s">
        <v>129</v>
      </c>
      <c r="X68" s="1" t="s">
        <v>96</v>
      </c>
      <c r="Y68" s="1" t="s">
        <v>642</v>
      </c>
      <c r="Z68" s="1" t="s">
        <v>98</v>
      </c>
      <c r="AA68" s="1" t="s">
        <v>130</v>
      </c>
      <c r="AB68" s="1" t="s">
        <v>87</v>
      </c>
      <c r="AC68" s="1" t="s">
        <v>101</v>
      </c>
      <c r="AD68" s="3"/>
      <c r="AE68" s="1" t="s">
        <v>96</v>
      </c>
      <c r="AF68" s="1" t="s">
        <v>96</v>
      </c>
      <c r="AG68" s="1" t="s">
        <v>74</v>
      </c>
      <c r="AH68" s="1"/>
      <c r="AI68" s="1" t="s">
        <v>143</v>
      </c>
      <c r="AJ68" s="1" t="s">
        <v>64</v>
      </c>
      <c r="AK68" s="1" t="s">
        <v>103</v>
      </c>
      <c r="AL68" s="1" t="s">
        <v>197</v>
      </c>
      <c r="AM68" s="1" t="s">
        <v>77</v>
      </c>
      <c r="AN68" s="1" t="s">
        <v>105</v>
      </c>
      <c r="AO68" s="1" t="s">
        <v>79</v>
      </c>
      <c r="AP68" s="1" t="s">
        <v>103</v>
      </c>
      <c r="AQ68" s="1" t="s">
        <v>103</v>
      </c>
      <c r="AR68" s="3" t="s">
        <v>643</v>
      </c>
      <c r="AS68" s="1" t="s">
        <v>83</v>
      </c>
      <c r="AT68" s="1" t="s">
        <v>84</v>
      </c>
    </row>
    <row r="69" spans="1:46" ht="19.899999999999999" customHeight="1" x14ac:dyDescent="0.25">
      <c r="A69" s="1" t="s">
        <v>464</v>
      </c>
      <c r="B69" s="1" t="s">
        <v>476</v>
      </c>
      <c r="C69" s="1" t="s">
        <v>48</v>
      </c>
      <c r="D69" s="1" t="s">
        <v>298</v>
      </c>
      <c r="E69" s="1" t="s">
        <v>87</v>
      </c>
      <c r="F69" s="1" t="s">
        <v>108</v>
      </c>
      <c r="G69" s="2">
        <v>10196</v>
      </c>
      <c r="H69" s="1" t="s">
        <v>644</v>
      </c>
      <c r="I69" s="1" t="s">
        <v>645</v>
      </c>
      <c r="J69" s="1"/>
      <c r="K69" s="1" t="s">
        <v>115</v>
      </c>
      <c r="L69" s="1" t="s">
        <v>115</v>
      </c>
      <c r="M69" s="1" t="s">
        <v>646</v>
      </c>
      <c r="N69" s="1" t="s">
        <v>625</v>
      </c>
      <c r="O69" s="1" t="s">
        <v>626</v>
      </c>
      <c r="P69" s="1" t="s">
        <v>154</v>
      </c>
      <c r="Q69" s="1" t="s">
        <v>647</v>
      </c>
      <c r="R69" s="1" t="s">
        <v>61</v>
      </c>
      <c r="S69" s="1" t="s">
        <v>473</v>
      </c>
      <c r="T69" t="str">
        <f t="shared" si="0"/>
        <v>JSC-smallbusiness@mail.nasa.gov</v>
      </c>
      <c r="U69" s="1" t="s">
        <v>94</v>
      </c>
      <c r="V69" s="1" t="s">
        <v>95</v>
      </c>
      <c r="W69" s="1" t="s">
        <v>129</v>
      </c>
      <c r="X69" s="1" t="s">
        <v>366</v>
      </c>
      <c r="Y69" s="1"/>
      <c r="Z69" s="1" t="s">
        <v>98</v>
      </c>
      <c r="AA69" s="1" t="s">
        <v>130</v>
      </c>
      <c r="AB69" s="1" t="s">
        <v>100</v>
      </c>
      <c r="AC69" s="1" t="s">
        <v>101</v>
      </c>
      <c r="AD69" s="3" t="s">
        <v>648</v>
      </c>
      <c r="AE69" s="1"/>
      <c r="AF69" s="1"/>
      <c r="AG69" s="1" t="s">
        <v>74</v>
      </c>
      <c r="AH69" s="1"/>
      <c r="AI69" s="1" t="s">
        <v>114</v>
      </c>
      <c r="AJ69" s="1" t="s">
        <v>94</v>
      </c>
      <c r="AK69" s="1" t="s">
        <v>76</v>
      </c>
      <c r="AL69" s="1" t="s">
        <v>649</v>
      </c>
      <c r="AM69" s="1" t="s">
        <v>133</v>
      </c>
      <c r="AN69" s="1" t="s">
        <v>105</v>
      </c>
      <c r="AO69" s="1" t="s">
        <v>167</v>
      </c>
      <c r="AP69" s="1"/>
      <c r="AQ69" s="1"/>
      <c r="AR69" s="3" t="s">
        <v>650</v>
      </c>
      <c r="AS69" s="1" t="s">
        <v>83</v>
      </c>
      <c r="AT69" s="1" t="s">
        <v>84</v>
      </c>
    </row>
    <row r="70" spans="1:46" ht="19.899999999999999" customHeight="1" x14ac:dyDescent="0.25">
      <c r="A70" s="1" t="s">
        <v>651</v>
      </c>
      <c r="B70" s="1" t="s">
        <v>652</v>
      </c>
      <c r="C70" s="1" t="s">
        <v>48</v>
      </c>
      <c r="D70" s="1" t="s">
        <v>86</v>
      </c>
      <c r="E70" s="1" t="s">
        <v>87</v>
      </c>
      <c r="F70" s="1" t="s">
        <v>108</v>
      </c>
      <c r="G70" s="2">
        <v>334</v>
      </c>
      <c r="H70" s="1" t="s">
        <v>653</v>
      </c>
      <c r="I70" s="1" t="s">
        <v>654</v>
      </c>
      <c r="J70" s="1" t="s">
        <v>655</v>
      </c>
      <c r="K70" s="1" t="s">
        <v>594</v>
      </c>
      <c r="L70" s="1" t="s">
        <v>55</v>
      </c>
      <c r="M70" s="1" t="s">
        <v>656</v>
      </c>
      <c r="N70" s="1" t="s">
        <v>657</v>
      </c>
      <c r="O70" s="1" t="s">
        <v>658</v>
      </c>
      <c r="P70" s="1" t="s">
        <v>659</v>
      </c>
      <c r="Q70" s="1" t="s">
        <v>660</v>
      </c>
      <c r="R70" s="1" t="s">
        <v>115</v>
      </c>
      <c r="S70" s="1" t="s">
        <v>661</v>
      </c>
      <c r="T70" t="str">
        <f t="shared" si="0"/>
        <v>KSC-smallbusiness@mail.nasa.gov</v>
      </c>
      <c r="U70" s="1" t="s">
        <v>94</v>
      </c>
      <c r="V70" s="1" t="s">
        <v>114</v>
      </c>
      <c r="W70" s="1" t="s">
        <v>129</v>
      </c>
      <c r="X70" s="1" t="s">
        <v>366</v>
      </c>
      <c r="Y70" s="1" t="s">
        <v>662</v>
      </c>
      <c r="Z70" s="1" t="s">
        <v>69</v>
      </c>
      <c r="AA70" s="1" t="s">
        <v>115</v>
      </c>
      <c r="AB70" s="1" t="s">
        <v>408</v>
      </c>
      <c r="AC70" s="1" t="s">
        <v>131</v>
      </c>
      <c r="AD70" s="3" t="s">
        <v>663</v>
      </c>
      <c r="AE70" s="1"/>
      <c r="AF70" s="1"/>
      <c r="AG70" s="1" t="s">
        <v>74</v>
      </c>
      <c r="AH70" s="1"/>
      <c r="AI70" s="1" t="s">
        <v>65</v>
      </c>
      <c r="AJ70" s="1" t="s">
        <v>64</v>
      </c>
      <c r="AK70" s="1" t="s">
        <v>120</v>
      </c>
      <c r="AL70" s="1" t="s">
        <v>68</v>
      </c>
      <c r="AM70" s="1" t="s">
        <v>149</v>
      </c>
      <c r="AN70" s="1" t="s">
        <v>115</v>
      </c>
      <c r="AO70" s="1" t="s">
        <v>167</v>
      </c>
      <c r="AP70" s="1"/>
      <c r="AQ70" s="1"/>
      <c r="AR70" s="3" t="s">
        <v>664</v>
      </c>
      <c r="AS70" s="1" t="s">
        <v>83</v>
      </c>
      <c r="AT70" s="1" t="s">
        <v>84</v>
      </c>
    </row>
    <row r="71" spans="1:46" ht="19.899999999999999" customHeight="1" x14ac:dyDescent="0.25">
      <c r="A71" s="1" t="s">
        <v>651</v>
      </c>
      <c r="B71" s="1" t="s">
        <v>665</v>
      </c>
      <c r="C71" s="1" t="s">
        <v>48</v>
      </c>
      <c r="D71" s="1" t="s">
        <v>86</v>
      </c>
      <c r="E71" s="1" t="s">
        <v>87</v>
      </c>
      <c r="F71" s="1" t="s">
        <v>108</v>
      </c>
      <c r="G71" s="2">
        <v>348</v>
      </c>
      <c r="H71" s="1" t="s">
        <v>666</v>
      </c>
      <c r="I71" s="1" t="s">
        <v>667</v>
      </c>
      <c r="J71" s="1" t="s">
        <v>668</v>
      </c>
      <c r="K71" s="1" t="s">
        <v>594</v>
      </c>
      <c r="L71" s="1" t="s">
        <v>55</v>
      </c>
      <c r="M71" s="1" t="s">
        <v>314</v>
      </c>
      <c r="N71" s="1" t="s">
        <v>669</v>
      </c>
      <c r="O71" s="1" t="s">
        <v>670</v>
      </c>
      <c r="P71" s="1" t="s">
        <v>671</v>
      </c>
      <c r="Q71" s="1" t="s">
        <v>318</v>
      </c>
      <c r="R71" s="1" t="s">
        <v>61</v>
      </c>
      <c r="S71" s="1" t="s">
        <v>661</v>
      </c>
      <c r="T71" t="str">
        <f t="shared" si="0"/>
        <v>KSC-smallbusiness@mail.nasa.gov</v>
      </c>
      <c r="U71" s="1" t="s">
        <v>94</v>
      </c>
      <c r="V71" s="1" t="s">
        <v>95</v>
      </c>
      <c r="W71" s="1" t="s">
        <v>66</v>
      </c>
      <c r="X71" s="1" t="s">
        <v>96</v>
      </c>
      <c r="Y71" s="1" t="s">
        <v>651</v>
      </c>
      <c r="Z71" s="1" t="s">
        <v>115</v>
      </c>
      <c r="AA71" s="1" t="s">
        <v>130</v>
      </c>
      <c r="AB71" s="1" t="s">
        <v>408</v>
      </c>
      <c r="AC71" s="1" t="s">
        <v>247</v>
      </c>
      <c r="AD71" s="3" t="s">
        <v>672</v>
      </c>
      <c r="AE71" s="1" t="s">
        <v>73</v>
      </c>
      <c r="AF71" s="1" t="s">
        <v>96</v>
      </c>
      <c r="AG71" s="1" t="s">
        <v>74</v>
      </c>
      <c r="AH71" s="1"/>
      <c r="AI71" s="1" t="s">
        <v>114</v>
      </c>
      <c r="AJ71" s="1" t="s">
        <v>94</v>
      </c>
      <c r="AK71" s="1" t="s">
        <v>103</v>
      </c>
      <c r="AL71" s="1" t="s">
        <v>68</v>
      </c>
      <c r="AM71" s="1" t="s">
        <v>77</v>
      </c>
      <c r="AN71" s="1" t="s">
        <v>105</v>
      </c>
      <c r="AO71" s="1" t="s">
        <v>79</v>
      </c>
      <c r="AP71" s="1" t="s">
        <v>80</v>
      </c>
      <c r="AQ71" s="1" t="s">
        <v>103</v>
      </c>
      <c r="AR71" s="3" t="s">
        <v>673</v>
      </c>
      <c r="AS71" s="1" t="s">
        <v>83</v>
      </c>
      <c r="AT71" s="1" t="s">
        <v>84</v>
      </c>
    </row>
    <row r="72" spans="1:46" ht="19.899999999999999" customHeight="1" x14ac:dyDescent="0.25">
      <c r="A72" s="1" t="s">
        <v>651</v>
      </c>
      <c r="B72" s="1" t="s">
        <v>674</v>
      </c>
      <c r="C72" s="1" t="s">
        <v>48</v>
      </c>
      <c r="D72" s="1" t="s">
        <v>86</v>
      </c>
      <c r="E72" s="1" t="s">
        <v>87</v>
      </c>
      <c r="F72" s="1" t="s">
        <v>108</v>
      </c>
      <c r="G72" s="2">
        <v>372</v>
      </c>
      <c r="H72" s="1" t="s">
        <v>675</v>
      </c>
      <c r="I72" s="1" t="s">
        <v>676</v>
      </c>
      <c r="J72" s="1" t="s">
        <v>677</v>
      </c>
      <c r="K72" s="1" t="s">
        <v>153</v>
      </c>
      <c r="L72" s="1" t="s">
        <v>55</v>
      </c>
      <c r="M72" s="1" t="s">
        <v>278</v>
      </c>
      <c r="N72" s="1" t="s">
        <v>640</v>
      </c>
      <c r="O72" s="1" t="s">
        <v>641</v>
      </c>
      <c r="P72" s="1" t="s">
        <v>678</v>
      </c>
      <c r="Q72" s="1" t="s">
        <v>281</v>
      </c>
      <c r="R72" s="1" t="s">
        <v>61</v>
      </c>
      <c r="S72" s="1" t="s">
        <v>661</v>
      </c>
      <c r="T72" t="str">
        <f t="shared" si="0"/>
        <v>KSC-smallbusiness@mail.nasa.gov</v>
      </c>
      <c r="U72" s="1" t="s">
        <v>679</v>
      </c>
      <c r="V72" s="1" t="s">
        <v>65</v>
      </c>
      <c r="W72" s="1" t="s">
        <v>129</v>
      </c>
      <c r="X72" s="1" t="s">
        <v>96</v>
      </c>
      <c r="Y72" s="1" t="s">
        <v>68</v>
      </c>
      <c r="Z72" s="1" t="s">
        <v>115</v>
      </c>
      <c r="AA72" s="1" t="s">
        <v>130</v>
      </c>
      <c r="AB72" s="1" t="s">
        <v>87</v>
      </c>
      <c r="AC72" s="1" t="s">
        <v>680</v>
      </c>
      <c r="AD72" s="3" t="s">
        <v>681</v>
      </c>
      <c r="AE72" s="1"/>
      <c r="AF72" s="1"/>
      <c r="AG72" s="1" t="s">
        <v>74</v>
      </c>
      <c r="AH72" s="1"/>
      <c r="AI72" s="1" t="s">
        <v>65</v>
      </c>
      <c r="AJ72" s="1" t="s">
        <v>119</v>
      </c>
      <c r="AK72" s="1" t="s">
        <v>103</v>
      </c>
      <c r="AL72" s="1" t="s">
        <v>197</v>
      </c>
      <c r="AM72" s="1" t="s">
        <v>77</v>
      </c>
      <c r="AN72" s="1" t="s">
        <v>78</v>
      </c>
      <c r="AO72" s="1" t="s">
        <v>167</v>
      </c>
      <c r="AP72" s="1"/>
      <c r="AQ72" s="1"/>
      <c r="AR72" s="3" t="s">
        <v>682</v>
      </c>
      <c r="AS72" s="1" t="s">
        <v>83</v>
      </c>
      <c r="AT72" s="1" t="s">
        <v>84</v>
      </c>
    </row>
    <row r="73" spans="1:46" ht="19.899999999999999" customHeight="1" x14ac:dyDescent="0.25">
      <c r="A73" s="1" t="s">
        <v>651</v>
      </c>
      <c r="B73" s="1" t="s">
        <v>652</v>
      </c>
      <c r="C73" s="1" t="s">
        <v>48</v>
      </c>
      <c r="D73" s="1" t="s">
        <v>86</v>
      </c>
      <c r="E73" s="1" t="s">
        <v>87</v>
      </c>
      <c r="F73" s="1" t="s">
        <v>108</v>
      </c>
      <c r="G73" s="2">
        <v>384</v>
      </c>
      <c r="H73" s="1" t="s">
        <v>683</v>
      </c>
      <c r="I73" s="1" t="s">
        <v>684</v>
      </c>
      <c r="J73" s="1" t="s">
        <v>685</v>
      </c>
      <c r="K73" s="1" t="s">
        <v>594</v>
      </c>
      <c r="L73" s="1" t="s">
        <v>55</v>
      </c>
      <c r="M73" s="1" t="s">
        <v>139</v>
      </c>
      <c r="N73" s="1" t="s">
        <v>686</v>
      </c>
      <c r="O73" s="1" t="s">
        <v>687</v>
      </c>
      <c r="P73" s="1" t="s">
        <v>112</v>
      </c>
      <c r="Q73" s="1" t="s">
        <v>142</v>
      </c>
      <c r="R73" s="1" t="s">
        <v>61</v>
      </c>
      <c r="S73" s="1" t="s">
        <v>661</v>
      </c>
      <c r="T73" t="str">
        <f t="shared" si="0"/>
        <v>KSC-smallbusiness@mail.nasa.gov</v>
      </c>
      <c r="U73" s="1" t="s">
        <v>64</v>
      </c>
      <c r="V73" s="1" t="s">
        <v>143</v>
      </c>
      <c r="W73" s="1" t="s">
        <v>129</v>
      </c>
      <c r="X73" s="1" t="s">
        <v>228</v>
      </c>
      <c r="Y73" s="1" t="s">
        <v>651</v>
      </c>
      <c r="Z73" s="1" t="s">
        <v>69</v>
      </c>
      <c r="AA73" s="1" t="s">
        <v>115</v>
      </c>
      <c r="AB73" s="1" t="s">
        <v>146</v>
      </c>
      <c r="AC73" s="1" t="s">
        <v>131</v>
      </c>
      <c r="AD73" s="3" t="s">
        <v>688</v>
      </c>
      <c r="AE73" s="1"/>
      <c r="AF73" s="1"/>
      <c r="AG73" s="1" t="s">
        <v>74</v>
      </c>
      <c r="AH73" s="1"/>
      <c r="AI73" s="1" t="s">
        <v>65</v>
      </c>
      <c r="AJ73" s="1" t="s">
        <v>64</v>
      </c>
      <c r="AK73" s="1" t="s">
        <v>80</v>
      </c>
      <c r="AL73" s="1" t="s">
        <v>68</v>
      </c>
      <c r="AM73" s="1" t="s">
        <v>149</v>
      </c>
      <c r="AN73" s="1" t="s">
        <v>115</v>
      </c>
      <c r="AO73" s="1" t="s">
        <v>74</v>
      </c>
      <c r="AP73" s="1"/>
      <c r="AQ73" s="1"/>
      <c r="AR73" s="3" t="s">
        <v>689</v>
      </c>
      <c r="AS73" s="1" t="s">
        <v>83</v>
      </c>
      <c r="AT73" s="1" t="s">
        <v>84</v>
      </c>
    </row>
    <row r="74" spans="1:46" ht="19.899999999999999" customHeight="1" x14ac:dyDescent="0.25">
      <c r="A74" s="1" t="s">
        <v>651</v>
      </c>
      <c r="B74" s="1" t="s">
        <v>652</v>
      </c>
      <c r="C74" s="1" t="s">
        <v>48</v>
      </c>
      <c r="D74" s="1" t="s">
        <v>86</v>
      </c>
      <c r="E74" s="1" t="s">
        <v>87</v>
      </c>
      <c r="F74" s="1" t="s">
        <v>108</v>
      </c>
      <c r="G74" s="2">
        <v>799</v>
      </c>
      <c r="H74" s="1" t="s">
        <v>690</v>
      </c>
      <c r="I74" s="1" t="s">
        <v>684</v>
      </c>
      <c r="J74" s="1" t="s">
        <v>685</v>
      </c>
      <c r="K74" s="1" t="s">
        <v>594</v>
      </c>
      <c r="L74" s="1" t="s">
        <v>55</v>
      </c>
      <c r="M74" s="1" t="s">
        <v>139</v>
      </c>
      <c r="N74" s="1" t="s">
        <v>686</v>
      </c>
      <c r="O74" s="1" t="s">
        <v>687</v>
      </c>
      <c r="P74" s="1" t="s">
        <v>112</v>
      </c>
      <c r="Q74" s="1" t="s">
        <v>142</v>
      </c>
      <c r="R74" s="1" t="s">
        <v>61</v>
      </c>
      <c r="S74" s="1" t="s">
        <v>661</v>
      </c>
      <c r="T74" t="str">
        <f t="shared" ref="T74:T137" si="1">_xlfn.CONCAT(A74, "-","smallbusiness@mail.nasa.gov")</f>
        <v>KSC-smallbusiness@mail.nasa.gov</v>
      </c>
      <c r="U74" s="1" t="s">
        <v>119</v>
      </c>
      <c r="V74" s="1" t="s">
        <v>65</v>
      </c>
      <c r="W74" s="1" t="s">
        <v>129</v>
      </c>
      <c r="X74" s="1" t="s">
        <v>228</v>
      </c>
      <c r="Y74" s="1" t="s">
        <v>651</v>
      </c>
      <c r="Z74" s="1" t="s">
        <v>69</v>
      </c>
      <c r="AA74" s="1" t="s">
        <v>115</v>
      </c>
      <c r="AB74" s="1" t="s">
        <v>146</v>
      </c>
      <c r="AC74" s="1" t="s">
        <v>496</v>
      </c>
      <c r="AD74" s="3" t="s">
        <v>691</v>
      </c>
      <c r="AE74" s="1"/>
      <c r="AF74" s="1"/>
      <c r="AG74" s="1" t="s">
        <v>74</v>
      </c>
      <c r="AH74" s="1"/>
      <c r="AI74" s="1" t="s">
        <v>65</v>
      </c>
      <c r="AJ74" s="1" t="s">
        <v>94</v>
      </c>
      <c r="AK74" s="1" t="s">
        <v>345</v>
      </c>
      <c r="AL74" s="1" t="s">
        <v>104</v>
      </c>
      <c r="AM74" s="1" t="s">
        <v>149</v>
      </c>
      <c r="AN74" s="1" t="s">
        <v>115</v>
      </c>
      <c r="AO74" s="1" t="s">
        <v>74</v>
      </c>
      <c r="AP74" s="1"/>
      <c r="AQ74" s="1"/>
      <c r="AR74" s="3" t="s">
        <v>692</v>
      </c>
      <c r="AS74" s="1" t="s">
        <v>83</v>
      </c>
      <c r="AT74" s="1" t="s">
        <v>84</v>
      </c>
    </row>
    <row r="75" spans="1:46" ht="19.899999999999999" customHeight="1" x14ac:dyDescent="0.25">
      <c r="A75" s="1" t="s">
        <v>651</v>
      </c>
      <c r="B75" s="1" t="s">
        <v>652</v>
      </c>
      <c r="C75" s="1" t="s">
        <v>48</v>
      </c>
      <c r="D75" s="1" t="s">
        <v>86</v>
      </c>
      <c r="E75" s="1" t="s">
        <v>87</v>
      </c>
      <c r="F75" s="1" t="s">
        <v>108</v>
      </c>
      <c r="G75" s="2">
        <v>973</v>
      </c>
      <c r="H75" s="1" t="s">
        <v>693</v>
      </c>
      <c r="I75" s="1" t="s">
        <v>684</v>
      </c>
      <c r="J75" s="1" t="s">
        <v>685</v>
      </c>
      <c r="K75" s="1" t="s">
        <v>594</v>
      </c>
      <c r="L75" s="1" t="s">
        <v>55</v>
      </c>
      <c r="M75" s="1" t="s">
        <v>139</v>
      </c>
      <c r="N75" s="1" t="s">
        <v>686</v>
      </c>
      <c r="O75" s="1" t="s">
        <v>687</v>
      </c>
      <c r="P75" s="1" t="s">
        <v>112</v>
      </c>
      <c r="Q75" s="1" t="s">
        <v>142</v>
      </c>
      <c r="R75" s="1" t="s">
        <v>61</v>
      </c>
      <c r="S75" s="1" t="s">
        <v>661</v>
      </c>
      <c r="T75" t="str">
        <f t="shared" si="1"/>
        <v>KSC-smallbusiness@mail.nasa.gov</v>
      </c>
      <c r="U75" s="1" t="s">
        <v>679</v>
      </c>
      <c r="V75" s="1" t="s">
        <v>65</v>
      </c>
      <c r="W75" s="1" t="s">
        <v>129</v>
      </c>
      <c r="X75" s="1" t="s">
        <v>228</v>
      </c>
      <c r="Y75" s="1" t="s">
        <v>651</v>
      </c>
      <c r="Z75" s="1" t="s">
        <v>69</v>
      </c>
      <c r="AA75" s="1" t="s">
        <v>115</v>
      </c>
      <c r="AB75" s="1" t="s">
        <v>146</v>
      </c>
      <c r="AC75" s="1" t="s">
        <v>680</v>
      </c>
      <c r="AD75" s="3" t="s">
        <v>694</v>
      </c>
      <c r="AE75" s="1"/>
      <c r="AF75" s="1"/>
      <c r="AG75" s="1" t="s">
        <v>74</v>
      </c>
      <c r="AH75" s="1"/>
      <c r="AI75" s="1" t="s">
        <v>65</v>
      </c>
      <c r="AJ75" s="1" t="s">
        <v>113</v>
      </c>
      <c r="AK75" s="1" t="s">
        <v>120</v>
      </c>
      <c r="AL75" s="1" t="s">
        <v>68</v>
      </c>
      <c r="AM75" s="1" t="s">
        <v>149</v>
      </c>
      <c r="AN75" s="1" t="s">
        <v>115</v>
      </c>
      <c r="AO75" s="1" t="s">
        <v>74</v>
      </c>
      <c r="AP75" s="1"/>
      <c r="AQ75" s="1"/>
      <c r="AR75" s="3" t="s">
        <v>695</v>
      </c>
      <c r="AS75" s="1" t="s">
        <v>83</v>
      </c>
      <c r="AT75" s="1" t="s">
        <v>84</v>
      </c>
    </row>
    <row r="76" spans="1:46" ht="19.899999999999999" customHeight="1" x14ac:dyDescent="0.25">
      <c r="A76" s="1" t="s">
        <v>651</v>
      </c>
      <c r="B76" s="1" t="s">
        <v>696</v>
      </c>
      <c r="C76" s="1" t="s">
        <v>48</v>
      </c>
      <c r="D76" s="1" t="s">
        <v>86</v>
      </c>
      <c r="E76" s="1" t="s">
        <v>87</v>
      </c>
      <c r="F76" s="1" t="s">
        <v>108</v>
      </c>
      <c r="G76" s="2">
        <v>1130</v>
      </c>
      <c r="H76" s="1" t="s">
        <v>697</v>
      </c>
      <c r="I76" s="1" t="s">
        <v>698</v>
      </c>
      <c r="J76" s="1" t="s">
        <v>699</v>
      </c>
      <c r="K76" s="1" t="s">
        <v>153</v>
      </c>
      <c r="L76" s="1" t="s">
        <v>55</v>
      </c>
      <c r="M76" s="1" t="s">
        <v>700</v>
      </c>
      <c r="N76" s="1" t="s">
        <v>562</v>
      </c>
      <c r="O76" s="1" t="s">
        <v>563</v>
      </c>
      <c r="P76" s="1" t="s">
        <v>189</v>
      </c>
      <c r="Q76" s="1" t="s">
        <v>701</v>
      </c>
      <c r="R76" s="1" t="s">
        <v>61</v>
      </c>
      <c r="S76" s="1" t="s">
        <v>661</v>
      </c>
      <c r="T76" t="str">
        <f t="shared" si="1"/>
        <v>KSC-smallbusiness@mail.nasa.gov</v>
      </c>
      <c r="U76" s="1" t="s">
        <v>113</v>
      </c>
      <c r="V76" s="1" t="s">
        <v>95</v>
      </c>
      <c r="W76" s="1" t="s">
        <v>66</v>
      </c>
      <c r="X76" s="1" t="s">
        <v>73</v>
      </c>
      <c r="Y76" s="1" t="s">
        <v>68</v>
      </c>
      <c r="Z76" s="1" t="s">
        <v>293</v>
      </c>
      <c r="AA76" s="1" t="s">
        <v>130</v>
      </c>
      <c r="AB76" s="1" t="s">
        <v>702</v>
      </c>
      <c r="AC76" s="1" t="s">
        <v>703</v>
      </c>
      <c r="AD76" s="3" t="s">
        <v>704</v>
      </c>
      <c r="AE76" s="1"/>
      <c r="AF76" s="1"/>
      <c r="AG76" s="1" t="s">
        <v>74</v>
      </c>
      <c r="AH76" s="1"/>
      <c r="AI76" s="1" t="s">
        <v>114</v>
      </c>
      <c r="AJ76" s="1" t="s">
        <v>94</v>
      </c>
      <c r="AK76" s="1" t="s">
        <v>76</v>
      </c>
      <c r="AL76" s="1" t="s">
        <v>197</v>
      </c>
      <c r="AM76" s="1" t="s">
        <v>77</v>
      </c>
      <c r="AN76" s="1" t="s">
        <v>115</v>
      </c>
      <c r="AO76" s="1" t="s">
        <v>74</v>
      </c>
      <c r="AP76" s="1"/>
      <c r="AQ76" s="1"/>
      <c r="AR76" s="3" t="s">
        <v>705</v>
      </c>
      <c r="AS76" s="1" t="s">
        <v>83</v>
      </c>
      <c r="AT76" s="1" t="s">
        <v>84</v>
      </c>
    </row>
    <row r="77" spans="1:46" ht="19.899999999999999" customHeight="1" x14ac:dyDescent="0.25">
      <c r="A77" s="1" t="s">
        <v>651</v>
      </c>
      <c r="B77" s="1" t="s">
        <v>665</v>
      </c>
      <c r="C77" s="1" t="s">
        <v>48</v>
      </c>
      <c r="D77" s="1" t="s">
        <v>86</v>
      </c>
      <c r="E77" s="1" t="s">
        <v>87</v>
      </c>
      <c r="F77" s="1" t="s">
        <v>108</v>
      </c>
      <c r="G77" s="2">
        <v>1138</v>
      </c>
      <c r="H77" s="1" t="s">
        <v>706</v>
      </c>
      <c r="I77" s="1" t="s">
        <v>707</v>
      </c>
      <c r="J77" s="1" t="s">
        <v>708</v>
      </c>
      <c r="K77" s="1" t="s">
        <v>594</v>
      </c>
      <c r="L77" s="1" t="s">
        <v>55</v>
      </c>
      <c r="M77" s="1" t="s">
        <v>709</v>
      </c>
      <c r="N77" s="1" t="s">
        <v>710</v>
      </c>
      <c r="O77" s="1" t="s">
        <v>711</v>
      </c>
      <c r="P77" s="1" t="s">
        <v>189</v>
      </c>
      <c r="Q77" s="1" t="s">
        <v>712</v>
      </c>
      <c r="R77" s="1" t="s">
        <v>61</v>
      </c>
      <c r="S77" s="1" t="s">
        <v>661</v>
      </c>
      <c r="T77" t="str">
        <f t="shared" si="1"/>
        <v>KSC-smallbusiness@mail.nasa.gov</v>
      </c>
      <c r="U77" s="1" t="s">
        <v>64</v>
      </c>
      <c r="V77" s="1" t="s">
        <v>143</v>
      </c>
      <c r="W77" s="1" t="s">
        <v>66</v>
      </c>
      <c r="X77" s="1" t="s">
        <v>67</v>
      </c>
      <c r="Y77" s="1" t="s">
        <v>68</v>
      </c>
      <c r="Z77" s="1" t="s">
        <v>69</v>
      </c>
      <c r="AA77" s="1" t="s">
        <v>130</v>
      </c>
      <c r="AB77" s="1" t="s">
        <v>713</v>
      </c>
      <c r="AC77" s="1" t="s">
        <v>101</v>
      </c>
      <c r="AD77" s="3" t="s">
        <v>714</v>
      </c>
      <c r="AE77" s="1" t="s">
        <v>144</v>
      </c>
      <c r="AF77" s="1" t="s">
        <v>73</v>
      </c>
      <c r="AG77" s="1" t="s">
        <v>74</v>
      </c>
      <c r="AH77" s="1"/>
      <c r="AI77" s="1" t="s">
        <v>143</v>
      </c>
      <c r="AJ77" s="1" t="s">
        <v>64</v>
      </c>
      <c r="AK77" s="1" t="s">
        <v>76</v>
      </c>
      <c r="AL77" s="1" t="s">
        <v>104</v>
      </c>
      <c r="AM77" s="1" t="s">
        <v>77</v>
      </c>
      <c r="AN77" s="1" t="s">
        <v>115</v>
      </c>
      <c r="AO77" s="1" t="s">
        <v>79</v>
      </c>
      <c r="AP77" s="1" t="s">
        <v>120</v>
      </c>
      <c r="AQ77" s="1" t="s">
        <v>76</v>
      </c>
      <c r="AR77" s="3" t="s">
        <v>706</v>
      </c>
      <c r="AS77" s="1" t="s">
        <v>83</v>
      </c>
      <c r="AT77" s="1" t="s">
        <v>84</v>
      </c>
    </row>
    <row r="78" spans="1:46" ht="19.899999999999999" customHeight="1" x14ac:dyDescent="0.25">
      <c r="A78" s="1" t="s">
        <v>651</v>
      </c>
      <c r="B78" s="1" t="s">
        <v>696</v>
      </c>
      <c r="C78" s="1" t="s">
        <v>48</v>
      </c>
      <c r="D78" s="1" t="s">
        <v>86</v>
      </c>
      <c r="E78" s="1" t="s">
        <v>87</v>
      </c>
      <c r="F78" s="1" t="s">
        <v>108</v>
      </c>
      <c r="G78" s="2">
        <v>1139</v>
      </c>
      <c r="H78" s="1" t="s">
        <v>715</v>
      </c>
      <c r="I78" s="1" t="s">
        <v>716</v>
      </c>
      <c r="J78" s="1" t="s">
        <v>717</v>
      </c>
      <c r="K78" s="1" t="s">
        <v>594</v>
      </c>
      <c r="L78" s="1" t="s">
        <v>55</v>
      </c>
      <c r="M78" s="1" t="s">
        <v>56</v>
      </c>
      <c r="N78" s="1" t="s">
        <v>718</v>
      </c>
      <c r="O78" s="1" t="s">
        <v>719</v>
      </c>
      <c r="P78" s="1" t="s">
        <v>659</v>
      </c>
      <c r="Q78" s="1" t="s">
        <v>60</v>
      </c>
      <c r="R78" s="1" t="s">
        <v>61</v>
      </c>
      <c r="S78" s="1" t="s">
        <v>661</v>
      </c>
      <c r="T78" t="str">
        <f t="shared" si="1"/>
        <v>KSC-smallbusiness@mail.nasa.gov</v>
      </c>
      <c r="U78" s="1" t="s">
        <v>720</v>
      </c>
      <c r="V78" s="1" t="s">
        <v>65</v>
      </c>
      <c r="W78" s="1" t="s">
        <v>66</v>
      </c>
      <c r="X78" s="1" t="s">
        <v>67</v>
      </c>
      <c r="Y78" s="1" t="s">
        <v>68</v>
      </c>
      <c r="Z78" s="1" t="s">
        <v>115</v>
      </c>
      <c r="AA78" s="1" t="s">
        <v>115</v>
      </c>
      <c r="AB78" s="1" t="s">
        <v>87</v>
      </c>
      <c r="AC78" s="1" t="s">
        <v>721</v>
      </c>
      <c r="AD78" s="3" t="s">
        <v>722</v>
      </c>
      <c r="AE78" s="1"/>
      <c r="AF78" s="1"/>
      <c r="AG78" s="1" t="s">
        <v>74</v>
      </c>
      <c r="AH78" s="1"/>
      <c r="AI78" s="1" t="s">
        <v>114</v>
      </c>
      <c r="AJ78" s="1" t="s">
        <v>723</v>
      </c>
      <c r="AK78" s="1" t="s">
        <v>103</v>
      </c>
      <c r="AL78" s="1" t="s">
        <v>68</v>
      </c>
      <c r="AM78" s="1" t="s">
        <v>77</v>
      </c>
      <c r="AN78" s="1" t="s">
        <v>115</v>
      </c>
      <c r="AO78" s="1" t="s">
        <v>167</v>
      </c>
      <c r="AP78" s="1"/>
      <c r="AQ78" s="1"/>
      <c r="AR78" s="3" t="s">
        <v>724</v>
      </c>
      <c r="AS78" s="1" t="s">
        <v>83</v>
      </c>
      <c r="AT78" s="1" t="s">
        <v>84</v>
      </c>
    </row>
    <row r="79" spans="1:46" ht="19.899999999999999" customHeight="1" x14ac:dyDescent="0.25">
      <c r="A79" s="1" t="s">
        <v>651</v>
      </c>
      <c r="B79" s="1" t="s">
        <v>696</v>
      </c>
      <c r="C79" s="1" t="s">
        <v>48</v>
      </c>
      <c r="D79" s="1" t="s">
        <v>86</v>
      </c>
      <c r="E79" s="1" t="s">
        <v>87</v>
      </c>
      <c r="F79" s="1" t="s">
        <v>108</v>
      </c>
      <c r="G79" s="2">
        <v>1149</v>
      </c>
      <c r="H79" s="1" t="s">
        <v>725</v>
      </c>
      <c r="I79" s="1" t="s">
        <v>726</v>
      </c>
      <c r="J79" s="1" t="s">
        <v>727</v>
      </c>
      <c r="K79" s="1" t="s">
        <v>153</v>
      </c>
      <c r="L79" s="1" t="s">
        <v>55</v>
      </c>
      <c r="M79" s="1" t="s">
        <v>728</v>
      </c>
      <c r="N79" s="1" t="s">
        <v>729</v>
      </c>
      <c r="O79" s="1" t="s">
        <v>730</v>
      </c>
      <c r="P79" s="1" t="s">
        <v>731</v>
      </c>
      <c r="Q79" s="1" t="s">
        <v>732</v>
      </c>
      <c r="R79" s="1" t="s">
        <v>61</v>
      </c>
      <c r="S79" s="1" t="s">
        <v>661</v>
      </c>
      <c r="T79" t="str">
        <f t="shared" si="1"/>
        <v>KSC-smallbusiness@mail.nasa.gov</v>
      </c>
      <c r="U79" s="1" t="s">
        <v>119</v>
      </c>
      <c r="V79" s="1" t="s">
        <v>95</v>
      </c>
      <c r="W79" s="1" t="s">
        <v>66</v>
      </c>
      <c r="X79" s="1" t="s">
        <v>67</v>
      </c>
      <c r="Y79" s="1" t="s">
        <v>68</v>
      </c>
      <c r="Z79" s="1" t="s">
        <v>69</v>
      </c>
      <c r="AA79" s="1" t="s">
        <v>115</v>
      </c>
      <c r="AB79" s="1" t="s">
        <v>155</v>
      </c>
      <c r="AC79" s="1" t="s">
        <v>496</v>
      </c>
      <c r="AD79" s="3"/>
      <c r="AE79" s="1" t="s">
        <v>118</v>
      </c>
      <c r="AF79" s="1" t="s">
        <v>73</v>
      </c>
      <c r="AG79" s="1" t="s">
        <v>74</v>
      </c>
      <c r="AH79" s="1"/>
      <c r="AI79" s="1" t="s">
        <v>65</v>
      </c>
      <c r="AJ79" s="1" t="s">
        <v>94</v>
      </c>
      <c r="AK79" s="1" t="s">
        <v>76</v>
      </c>
      <c r="AL79" s="1" t="s">
        <v>295</v>
      </c>
      <c r="AM79" s="1" t="s">
        <v>77</v>
      </c>
      <c r="AN79" s="1" t="s">
        <v>115</v>
      </c>
      <c r="AO79" s="1" t="s">
        <v>79</v>
      </c>
      <c r="AP79" s="1" t="s">
        <v>120</v>
      </c>
      <c r="AQ79" s="1" t="s">
        <v>443</v>
      </c>
      <c r="AR79" s="3" t="s">
        <v>733</v>
      </c>
      <c r="AS79" s="1" t="s">
        <v>83</v>
      </c>
      <c r="AT79" s="1" t="s">
        <v>84</v>
      </c>
    </row>
    <row r="80" spans="1:46" ht="19.899999999999999" customHeight="1" x14ac:dyDescent="0.25">
      <c r="A80" s="1" t="s">
        <v>651</v>
      </c>
      <c r="B80" s="1" t="s">
        <v>696</v>
      </c>
      <c r="C80" s="1" t="s">
        <v>48</v>
      </c>
      <c r="D80" s="1" t="s">
        <v>170</v>
      </c>
      <c r="E80" s="1" t="s">
        <v>170</v>
      </c>
      <c r="F80" s="1" t="s">
        <v>171</v>
      </c>
      <c r="G80" s="2">
        <v>1150</v>
      </c>
      <c r="H80" s="1" t="s">
        <v>734</v>
      </c>
      <c r="I80" s="1" t="s">
        <v>735</v>
      </c>
      <c r="J80" s="1" t="s">
        <v>736</v>
      </c>
      <c r="K80" s="1"/>
      <c r="L80" s="1"/>
      <c r="M80" s="1" t="s">
        <v>522</v>
      </c>
      <c r="N80" s="1" t="s">
        <v>91</v>
      </c>
      <c r="O80" s="1" t="s">
        <v>92</v>
      </c>
      <c r="P80" s="1" t="s">
        <v>189</v>
      </c>
      <c r="Q80" s="1" t="s">
        <v>525</v>
      </c>
      <c r="R80" s="1"/>
      <c r="S80" s="1" t="s">
        <v>661</v>
      </c>
      <c r="T80" t="str">
        <f t="shared" si="1"/>
        <v>KSC-smallbusiness@mail.nasa.gov</v>
      </c>
      <c r="U80" s="1"/>
      <c r="V80" s="1"/>
      <c r="W80" s="1" t="s">
        <v>66</v>
      </c>
      <c r="X80" s="1"/>
      <c r="Y80" s="1" t="s">
        <v>662</v>
      </c>
      <c r="Z80" s="1"/>
      <c r="AA80" s="1"/>
      <c r="AB80" s="1"/>
      <c r="AC80" s="1"/>
      <c r="AD80" s="3" t="s">
        <v>737</v>
      </c>
      <c r="AE80" s="1"/>
      <c r="AF80" s="1"/>
      <c r="AG80" s="1" t="s">
        <v>74</v>
      </c>
      <c r="AH80" s="1"/>
      <c r="AI80" s="1"/>
      <c r="AJ80" s="1"/>
      <c r="AK80" s="1"/>
      <c r="AL80" s="1"/>
      <c r="AM80" s="1"/>
      <c r="AN80" s="1"/>
      <c r="AO80" s="1"/>
      <c r="AP80" s="1"/>
      <c r="AQ80" s="1"/>
      <c r="AR80" s="3" t="s">
        <v>738</v>
      </c>
      <c r="AS80" s="1" t="s">
        <v>83</v>
      </c>
      <c r="AT80" s="1" t="s">
        <v>84</v>
      </c>
    </row>
    <row r="81" spans="1:46" ht="19.899999999999999" customHeight="1" x14ac:dyDescent="0.25">
      <c r="A81" s="1" t="s">
        <v>651</v>
      </c>
      <c r="B81" s="1" t="s">
        <v>652</v>
      </c>
      <c r="C81" s="1" t="s">
        <v>48</v>
      </c>
      <c r="D81" s="1" t="s">
        <v>49</v>
      </c>
      <c r="E81" s="1" t="s">
        <v>49</v>
      </c>
      <c r="F81" s="1" t="s">
        <v>49</v>
      </c>
      <c r="G81" s="2">
        <v>1153</v>
      </c>
      <c r="H81" s="1" t="s">
        <v>739</v>
      </c>
      <c r="I81" s="1" t="s">
        <v>740</v>
      </c>
      <c r="J81" s="1" t="s">
        <v>741</v>
      </c>
      <c r="K81" s="1" t="s">
        <v>594</v>
      </c>
      <c r="L81" s="1" t="s">
        <v>55</v>
      </c>
      <c r="M81" s="1" t="s">
        <v>139</v>
      </c>
      <c r="N81" s="1" t="s">
        <v>742</v>
      </c>
      <c r="O81" s="1" t="s">
        <v>743</v>
      </c>
      <c r="P81" s="1" t="s">
        <v>189</v>
      </c>
      <c r="Q81" s="1" t="s">
        <v>142</v>
      </c>
      <c r="R81" s="1" t="s">
        <v>61</v>
      </c>
      <c r="S81" s="1" t="s">
        <v>661</v>
      </c>
      <c r="T81" t="str">
        <f t="shared" si="1"/>
        <v>KSC-smallbusiness@mail.nasa.gov</v>
      </c>
      <c r="U81" s="1" t="s">
        <v>64</v>
      </c>
      <c r="V81" s="1" t="s">
        <v>65</v>
      </c>
      <c r="W81" s="1" t="s">
        <v>66</v>
      </c>
      <c r="X81" s="1" t="s">
        <v>118</v>
      </c>
      <c r="Y81" s="1" t="s">
        <v>651</v>
      </c>
      <c r="Z81" s="1" t="s">
        <v>69</v>
      </c>
      <c r="AA81" s="1" t="s">
        <v>130</v>
      </c>
      <c r="AB81" s="1" t="s">
        <v>146</v>
      </c>
      <c r="AC81" s="1" t="s">
        <v>72</v>
      </c>
      <c r="AD81" s="3" t="s">
        <v>744</v>
      </c>
      <c r="AE81" s="1" t="s">
        <v>118</v>
      </c>
      <c r="AF81" s="1" t="s">
        <v>144</v>
      </c>
      <c r="AG81" s="1" t="s">
        <v>74</v>
      </c>
      <c r="AH81" s="1"/>
      <c r="AI81" s="1" t="s">
        <v>65</v>
      </c>
      <c r="AJ81" s="1" t="s">
        <v>75</v>
      </c>
      <c r="AK81" s="1" t="s">
        <v>76</v>
      </c>
      <c r="AL81" s="1" t="s">
        <v>197</v>
      </c>
      <c r="AM81" s="1" t="s">
        <v>149</v>
      </c>
      <c r="AN81" s="1" t="s">
        <v>105</v>
      </c>
      <c r="AO81" s="1" t="s">
        <v>74</v>
      </c>
      <c r="AP81" s="1" t="s">
        <v>76</v>
      </c>
      <c r="AQ81" s="1" t="s">
        <v>120</v>
      </c>
      <c r="AR81" s="3" t="s">
        <v>745</v>
      </c>
      <c r="AS81" s="1" t="s">
        <v>83</v>
      </c>
      <c r="AT81" s="1" t="s">
        <v>84</v>
      </c>
    </row>
    <row r="82" spans="1:46" ht="19.899999999999999" customHeight="1" x14ac:dyDescent="0.25">
      <c r="A82" s="1" t="s">
        <v>651</v>
      </c>
      <c r="B82" s="1" t="s">
        <v>674</v>
      </c>
      <c r="C82" s="1" t="s">
        <v>48</v>
      </c>
      <c r="D82" s="1" t="s">
        <v>170</v>
      </c>
      <c r="E82" s="1" t="s">
        <v>170</v>
      </c>
      <c r="F82" s="1" t="s">
        <v>171</v>
      </c>
      <c r="G82" s="2">
        <v>1178</v>
      </c>
      <c r="H82" s="1" t="s">
        <v>746</v>
      </c>
      <c r="I82" s="1" t="s">
        <v>747</v>
      </c>
      <c r="J82" s="1" t="s">
        <v>748</v>
      </c>
      <c r="K82" s="1" t="s">
        <v>594</v>
      </c>
      <c r="L82" s="1" t="s">
        <v>55</v>
      </c>
      <c r="M82" s="1" t="s">
        <v>522</v>
      </c>
      <c r="N82" s="1" t="s">
        <v>91</v>
      </c>
      <c r="O82" s="1" t="s">
        <v>92</v>
      </c>
      <c r="P82" s="1" t="s">
        <v>659</v>
      </c>
      <c r="Q82" s="1" t="s">
        <v>525</v>
      </c>
      <c r="R82" s="1" t="s">
        <v>61</v>
      </c>
      <c r="S82" s="1" t="s">
        <v>661</v>
      </c>
      <c r="T82" t="str">
        <f t="shared" si="1"/>
        <v>KSC-smallbusiness@mail.nasa.gov</v>
      </c>
      <c r="U82" s="1" t="s">
        <v>119</v>
      </c>
      <c r="V82" s="1" t="s">
        <v>115</v>
      </c>
      <c r="W82" s="1" t="s">
        <v>66</v>
      </c>
      <c r="X82" s="1" t="s">
        <v>67</v>
      </c>
      <c r="Y82" s="1" t="s">
        <v>68</v>
      </c>
      <c r="Z82" s="1" t="s">
        <v>115</v>
      </c>
      <c r="AA82" s="1" t="s">
        <v>115</v>
      </c>
      <c r="AB82" s="1" t="s">
        <v>87</v>
      </c>
      <c r="AC82" s="1" t="s">
        <v>116</v>
      </c>
      <c r="AD82" s="3"/>
      <c r="AE82" s="1"/>
      <c r="AF82" s="1"/>
      <c r="AG82" s="1" t="s">
        <v>74</v>
      </c>
      <c r="AH82" s="1"/>
      <c r="AI82" s="1" t="s">
        <v>115</v>
      </c>
      <c r="AJ82" s="1" t="s">
        <v>94</v>
      </c>
      <c r="AK82" s="1" t="s">
        <v>76</v>
      </c>
      <c r="AL82" s="1" t="s">
        <v>148</v>
      </c>
      <c r="AM82" s="1" t="s">
        <v>77</v>
      </c>
      <c r="AN82" s="1" t="s">
        <v>115</v>
      </c>
      <c r="AO82" s="1" t="s">
        <v>167</v>
      </c>
      <c r="AP82" s="1"/>
      <c r="AQ82" s="1"/>
      <c r="AR82" s="3" t="s">
        <v>749</v>
      </c>
      <c r="AS82" s="1" t="s">
        <v>83</v>
      </c>
      <c r="AT82" s="1" t="s">
        <v>84</v>
      </c>
    </row>
    <row r="83" spans="1:46" ht="19.899999999999999" customHeight="1" x14ac:dyDescent="0.25">
      <c r="A83" s="1" t="s">
        <v>651</v>
      </c>
      <c r="B83" s="1" t="s">
        <v>652</v>
      </c>
      <c r="C83" s="1" t="s">
        <v>48</v>
      </c>
      <c r="D83" s="1" t="s">
        <v>49</v>
      </c>
      <c r="E83" s="1" t="s">
        <v>49</v>
      </c>
      <c r="F83" s="1" t="s">
        <v>49</v>
      </c>
      <c r="G83" s="2">
        <v>9886</v>
      </c>
      <c r="H83" s="1" t="s">
        <v>750</v>
      </c>
      <c r="I83" s="1" t="s">
        <v>751</v>
      </c>
      <c r="J83" s="1" t="s">
        <v>752</v>
      </c>
      <c r="K83" s="1" t="s">
        <v>594</v>
      </c>
      <c r="L83" s="1" t="s">
        <v>55</v>
      </c>
      <c r="M83" s="1" t="s">
        <v>139</v>
      </c>
      <c r="N83" s="1" t="s">
        <v>753</v>
      </c>
      <c r="O83" s="1" t="s">
        <v>754</v>
      </c>
      <c r="P83" s="1" t="s">
        <v>112</v>
      </c>
      <c r="Q83" s="1" t="s">
        <v>142</v>
      </c>
      <c r="R83" s="1" t="s">
        <v>61</v>
      </c>
      <c r="S83" s="1" t="s">
        <v>661</v>
      </c>
      <c r="T83" t="str">
        <f t="shared" si="1"/>
        <v>KSC-smallbusiness@mail.nasa.gov</v>
      </c>
      <c r="U83" s="1" t="s">
        <v>64</v>
      </c>
      <c r="V83" s="1" t="s">
        <v>143</v>
      </c>
      <c r="W83" s="1" t="s">
        <v>129</v>
      </c>
      <c r="X83" s="1" t="s">
        <v>144</v>
      </c>
      <c r="Y83" s="1" t="s">
        <v>651</v>
      </c>
      <c r="Z83" s="1" t="s">
        <v>69</v>
      </c>
      <c r="AA83" s="1" t="s">
        <v>130</v>
      </c>
      <c r="AB83" s="1" t="s">
        <v>146</v>
      </c>
      <c r="AC83" s="1" t="s">
        <v>131</v>
      </c>
      <c r="AD83" s="3"/>
      <c r="AE83" s="1" t="s">
        <v>144</v>
      </c>
      <c r="AF83" s="1" t="s">
        <v>352</v>
      </c>
      <c r="AG83" s="1" t="s">
        <v>74</v>
      </c>
      <c r="AH83" s="1"/>
      <c r="AI83" s="1" t="s">
        <v>65</v>
      </c>
      <c r="AJ83" s="1" t="s">
        <v>64</v>
      </c>
      <c r="AK83" s="1" t="s">
        <v>80</v>
      </c>
      <c r="AL83" s="1" t="s">
        <v>68</v>
      </c>
      <c r="AM83" s="1" t="s">
        <v>149</v>
      </c>
      <c r="AN83" s="1" t="s">
        <v>115</v>
      </c>
      <c r="AO83" s="1" t="s">
        <v>79</v>
      </c>
      <c r="AP83" s="1" t="s">
        <v>80</v>
      </c>
      <c r="AQ83" s="1" t="s">
        <v>80</v>
      </c>
      <c r="AR83" s="3" t="s">
        <v>755</v>
      </c>
      <c r="AS83" s="1" t="s">
        <v>83</v>
      </c>
      <c r="AT83" s="1" t="s">
        <v>84</v>
      </c>
    </row>
    <row r="84" spans="1:46" ht="19.899999999999999" customHeight="1" x14ac:dyDescent="0.25">
      <c r="A84" s="1" t="s">
        <v>651</v>
      </c>
      <c r="B84" s="1" t="s">
        <v>652</v>
      </c>
      <c r="C84" s="1" t="s">
        <v>48</v>
      </c>
      <c r="D84" s="1" t="s">
        <v>49</v>
      </c>
      <c r="E84" s="1" t="s">
        <v>49</v>
      </c>
      <c r="F84" s="1" t="s">
        <v>49</v>
      </c>
      <c r="G84" s="2">
        <v>9893</v>
      </c>
      <c r="H84" s="1" t="s">
        <v>756</v>
      </c>
      <c r="I84" s="1" t="s">
        <v>751</v>
      </c>
      <c r="J84" s="1" t="s">
        <v>752</v>
      </c>
      <c r="K84" s="1" t="s">
        <v>594</v>
      </c>
      <c r="L84" s="1" t="s">
        <v>55</v>
      </c>
      <c r="M84" s="1" t="s">
        <v>139</v>
      </c>
      <c r="N84" s="1" t="s">
        <v>753</v>
      </c>
      <c r="O84" s="1" t="s">
        <v>754</v>
      </c>
      <c r="P84" s="1" t="s">
        <v>112</v>
      </c>
      <c r="Q84" s="1" t="s">
        <v>142</v>
      </c>
      <c r="R84" s="1" t="s">
        <v>61</v>
      </c>
      <c r="S84" s="1" t="s">
        <v>661</v>
      </c>
      <c r="T84" t="str">
        <f t="shared" si="1"/>
        <v>KSC-smallbusiness@mail.nasa.gov</v>
      </c>
      <c r="U84" s="1" t="s">
        <v>64</v>
      </c>
      <c r="V84" s="1" t="s">
        <v>143</v>
      </c>
      <c r="W84" s="1" t="s">
        <v>129</v>
      </c>
      <c r="X84" s="1" t="s">
        <v>118</v>
      </c>
      <c r="Y84" s="1" t="s">
        <v>651</v>
      </c>
      <c r="Z84" s="1" t="s">
        <v>98</v>
      </c>
      <c r="AA84" s="1" t="s">
        <v>130</v>
      </c>
      <c r="AB84" s="1" t="s">
        <v>146</v>
      </c>
      <c r="AC84" s="1" t="s">
        <v>131</v>
      </c>
      <c r="AD84" s="3"/>
      <c r="AE84" s="1"/>
      <c r="AF84" s="1"/>
      <c r="AG84" s="1" t="s">
        <v>74</v>
      </c>
      <c r="AH84" s="1"/>
      <c r="AI84" s="1" t="s">
        <v>95</v>
      </c>
      <c r="AJ84" s="1" t="s">
        <v>64</v>
      </c>
      <c r="AK84" s="1" t="s">
        <v>76</v>
      </c>
      <c r="AL84" s="1" t="s">
        <v>148</v>
      </c>
      <c r="AM84" s="1" t="s">
        <v>149</v>
      </c>
      <c r="AN84" s="1" t="s">
        <v>105</v>
      </c>
      <c r="AO84" s="1" t="s">
        <v>74</v>
      </c>
      <c r="AP84" s="1"/>
      <c r="AQ84" s="1"/>
      <c r="AR84" s="3" t="s">
        <v>757</v>
      </c>
      <c r="AS84" s="1" t="s">
        <v>83</v>
      </c>
      <c r="AT84" s="1" t="s">
        <v>84</v>
      </c>
    </row>
    <row r="85" spans="1:46" ht="19.899999999999999" customHeight="1" x14ac:dyDescent="0.25">
      <c r="A85" s="1" t="s">
        <v>651</v>
      </c>
      <c r="B85" s="1" t="s">
        <v>652</v>
      </c>
      <c r="C85" s="1" t="s">
        <v>48</v>
      </c>
      <c r="D85" s="1" t="s">
        <v>86</v>
      </c>
      <c r="E85" s="1" t="s">
        <v>87</v>
      </c>
      <c r="F85" s="1" t="s">
        <v>50</v>
      </c>
      <c r="G85" s="2">
        <v>9907</v>
      </c>
      <c r="H85" s="1" t="s">
        <v>758</v>
      </c>
      <c r="I85" s="1" t="s">
        <v>654</v>
      </c>
      <c r="J85" s="1" t="s">
        <v>759</v>
      </c>
      <c r="K85" s="1" t="s">
        <v>594</v>
      </c>
      <c r="L85" s="1" t="s">
        <v>55</v>
      </c>
      <c r="M85" s="1" t="s">
        <v>760</v>
      </c>
      <c r="N85" s="1" t="s">
        <v>761</v>
      </c>
      <c r="O85" s="1" t="s">
        <v>762</v>
      </c>
      <c r="P85" s="1" t="s">
        <v>128</v>
      </c>
      <c r="Q85" s="1" t="s">
        <v>763</v>
      </c>
      <c r="R85" s="1" t="s">
        <v>61</v>
      </c>
      <c r="S85" s="1" t="s">
        <v>661</v>
      </c>
      <c r="T85" t="str">
        <f t="shared" si="1"/>
        <v>KSC-smallbusiness@mail.nasa.gov</v>
      </c>
      <c r="U85" s="1" t="s">
        <v>64</v>
      </c>
      <c r="V85" s="1" t="s">
        <v>143</v>
      </c>
      <c r="W85" s="1" t="s">
        <v>129</v>
      </c>
      <c r="X85" s="1" t="s">
        <v>238</v>
      </c>
      <c r="Y85" s="1" t="s">
        <v>651</v>
      </c>
      <c r="Z85" s="1" t="s">
        <v>69</v>
      </c>
      <c r="AA85" s="1" t="s">
        <v>130</v>
      </c>
      <c r="AB85" s="1" t="s">
        <v>146</v>
      </c>
      <c r="AC85" s="1" t="s">
        <v>131</v>
      </c>
      <c r="AD85" s="3" t="s">
        <v>764</v>
      </c>
      <c r="AE85" s="1"/>
      <c r="AF85" s="1"/>
      <c r="AG85" s="1" t="s">
        <v>74</v>
      </c>
      <c r="AH85" s="1"/>
      <c r="AI85" s="1" t="s">
        <v>143</v>
      </c>
      <c r="AJ85" s="1" t="s">
        <v>64</v>
      </c>
      <c r="AK85" s="1" t="s">
        <v>80</v>
      </c>
      <c r="AL85" s="1" t="s">
        <v>104</v>
      </c>
      <c r="AM85" s="1" t="s">
        <v>149</v>
      </c>
      <c r="AN85" s="1" t="s">
        <v>105</v>
      </c>
      <c r="AO85" s="1" t="s">
        <v>167</v>
      </c>
      <c r="AP85" s="1"/>
      <c r="AQ85" s="1"/>
      <c r="AR85" s="3" t="s">
        <v>758</v>
      </c>
      <c r="AS85" s="1" t="s">
        <v>83</v>
      </c>
      <c r="AT85" s="1" t="s">
        <v>84</v>
      </c>
    </row>
    <row r="86" spans="1:46" ht="19.899999999999999" customHeight="1" x14ac:dyDescent="0.25">
      <c r="A86" s="1" t="s">
        <v>651</v>
      </c>
      <c r="B86" s="1" t="s">
        <v>652</v>
      </c>
      <c r="C86" s="1" t="s">
        <v>48</v>
      </c>
      <c r="D86" s="1" t="s">
        <v>86</v>
      </c>
      <c r="E86" s="1" t="s">
        <v>87</v>
      </c>
      <c r="F86" s="1" t="s">
        <v>50</v>
      </c>
      <c r="G86" s="2">
        <v>9908</v>
      </c>
      <c r="H86" s="1" t="s">
        <v>765</v>
      </c>
      <c r="I86" s="1" t="s">
        <v>654</v>
      </c>
      <c r="J86" s="1" t="s">
        <v>759</v>
      </c>
      <c r="K86" s="1" t="s">
        <v>594</v>
      </c>
      <c r="L86" s="1" t="s">
        <v>55</v>
      </c>
      <c r="M86" s="1" t="s">
        <v>766</v>
      </c>
      <c r="N86" s="1" t="s">
        <v>767</v>
      </c>
      <c r="O86" s="1" t="s">
        <v>768</v>
      </c>
      <c r="P86" s="1" t="s">
        <v>128</v>
      </c>
      <c r="Q86" s="1" t="s">
        <v>769</v>
      </c>
      <c r="R86" s="1" t="s">
        <v>61</v>
      </c>
      <c r="S86" s="1" t="s">
        <v>661</v>
      </c>
      <c r="T86" t="str">
        <f t="shared" si="1"/>
        <v>KSC-smallbusiness@mail.nasa.gov</v>
      </c>
      <c r="U86" s="1" t="s">
        <v>64</v>
      </c>
      <c r="V86" s="1" t="s">
        <v>143</v>
      </c>
      <c r="W86" s="1" t="s">
        <v>129</v>
      </c>
      <c r="X86" s="1" t="s">
        <v>228</v>
      </c>
      <c r="Y86" s="1" t="s">
        <v>651</v>
      </c>
      <c r="Z86" s="1" t="s">
        <v>770</v>
      </c>
      <c r="AA86" s="1" t="s">
        <v>115</v>
      </c>
      <c r="AB86" s="1" t="s">
        <v>146</v>
      </c>
      <c r="AC86" s="1" t="s">
        <v>230</v>
      </c>
      <c r="AD86" s="3" t="s">
        <v>765</v>
      </c>
      <c r="AE86" s="1"/>
      <c r="AF86" s="1"/>
      <c r="AG86" s="1" t="s">
        <v>74</v>
      </c>
      <c r="AH86" s="1"/>
      <c r="AI86" s="1" t="s">
        <v>143</v>
      </c>
      <c r="AJ86" s="1" t="s">
        <v>64</v>
      </c>
      <c r="AK86" s="1" t="s">
        <v>80</v>
      </c>
      <c r="AL86" s="1" t="s">
        <v>104</v>
      </c>
      <c r="AM86" s="1" t="s">
        <v>115</v>
      </c>
      <c r="AN86" s="1" t="s">
        <v>115</v>
      </c>
      <c r="AO86" s="1" t="s">
        <v>74</v>
      </c>
      <c r="AP86" s="1"/>
      <c r="AQ86" s="1"/>
      <c r="AR86" s="3" t="s">
        <v>765</v>
      </c>
      <c r="AS86" s="1" t="s">
        <v>83</v>
      </c>
      <c r="AT86" s="1" t="s">
        <v>84</v>
      </c>
    </row>
    <row r="87" spans="1:46" ht="19.899999999999999" customHeight="1" x14ac:dyDescent="0.25">
      <c r="A87" s="1" t="s">
        <v>651</v>
      </c>
      <c r="B87" s="1" t="s">
        <v>652</v>
      </c>
      <c r="C87" s="1" t="s">
        <v>48</v>
      </c>
      <c r="D87" s="1" t="s">
        <v>86</v>
      </c>
      <c r="E87" s="1" t="s">
        <v>87</v>
      </c>
      <c r="F87" s="1" t="s">
        <v>108</v>
      </c>
      <c r="G87" s="2">
        <v>9909</v>
      </c>
      <c r="H87" s="1" t="s">
        <v>771</v>
      </c>
      <c r="I87" s="1" t="s">
        <v>654</v>
      </c>
      <c r="J87" s="1" t="s">
        <v>759</v>
      </c>
      <c r="K87" s="1" t="s">
        <v>594</v>
      </c>
      <c r="L87" s="1" t="s">
        <v>55</v>
      </c>
      <c r="M87" s="1" t="s">
        <v>760</v>
      </c>
      <c r="N87" s="1" t="s">
        <v>761</v>
      </c>
      <c r="O87" s="1" t="s">
        <v>762</v>
      </c>
      <c r="P87" s="1" t="s">
        <v>128</v>
      </c>
      <c r="Q87" s="1" t="s">
        <v>763</v>
      </c>
      <c r="R87" s="1" t="s">
        <v>61</v>
      </c>
      <c r="S87" s="1" t="s">
        <v>661</v>
      </c>
      <c r="T87" t="str">
        <f t="shared" si="1"/>
        <v>KSC-smallbusiness@mail.nasa.gov</v>
      </c>
      <c r="U87" s="1" t="s">
        <v>119</v>
      </c>
      <c r="V87" s="1" t="s">
        <v>95</v>
      </c>
      <c r="W87" s="1" t="s">
        <v>129</v>
      </c>
      <c r="X87" s="1" t="s">
        <v>238</v>
      </c>
      <c r="Y87" s="1" t="s">
        <v>651</v>
      </c>
      <c r="Z87" s="1" t="s">
        <v>69</v>
      </c>
      <c r="AA87" s="1" t="s">
        <v>130</v>
      </c>
      <c r="AB87" s="1" t="s">
        <v>772</v>
      </c>
      <c r="AC87" s="1" t="s">
        <v>496</v>
      </c>
      <c r="AD87" s="3" t="s">
        <v>773</v>
      </c>
      <c r="AE87" s="1"/>
      <c r="AF87" s="1"/>
      <c r="AG87" s="1" t="s">
        <v>74</v>
      </c>
      <c r="AH87" s="1"/>
      <c r="AI87" s="1" t="s">
        <v>114</v>
      </c>
      <c r="AJ87" s="1" t="s">
        <v>119</v>
      </c>
      <c r="AK87" s="1" t="s">
        <v>80</v>
      </c>
      <c r="AL87" s="1" t="s">
        <v>104</v>
      </c>
      <c r="AM87" s="1" t="s">
        <v>115</v>
      </c>
      <c r="AN87" s="1" t="s">
        <v>105</v>
      </c>
      <c r="AO87" s="1" t="s">
        <v>74</v>
      </c>
      <c r="AP87" s="1"/>
      <c r="AQ87" s="1"/>
      <c r="AR87" s="3" t="s">
        <v>773</v>
      </c>
      <c r="AS87" s="1" t="s">
        <v>83</v>
      </c>
      <c r="AT87" s="1" t="s">
        <v>84</v>
      </c>
    </row>
    <row r="88" spans="1:46" ht="19.899999999999999" customHeight="1" x14ac:dyDescent="0.25">
      <c r="A88" s="1" t="s">
        <v>651</v>
      </c>
      <c r="B88" s="1" t="s">
        <v>652</v>
      </c>
      <c r="C88" s="1" t="s">
        <v>48</v>
      </c>
      <c r="D88" s="1" t="s">
        <v>86</v>
      </c>
      <c r="E88" s="1" t="s">
        <v>87</v>
      </c>
      <c r="F88" s="1" t="s">
        <v>108</v>
      </c>
      <c r="G88" s="2">
        <v>9910</v>
      </c>
      <c r="H88" s="1" t="s">
        <v>774</v>
      </c>
      <c r="I88" s="1" t="s">
        <v>654</v>
      </c>
      <c r="J88" s="1" t="s">
        <v>759</v>
      </c>
      <c r="K88" s="1" t="s">
        <v>594</v>
      </c>
      <c r="L88" s="1" t="s">
        <v>55</v>
      </c>
      <c r="M88" s="1" t="s">
        <v>775</v>
      </c>
      <c r="N88" s="1" t="s">
        <v>776</v>
      </c>
      <c r="O88" s="1" t="s">
        <v>777</v>
      </c>
      <c r="P88" s="1" t="s">
        <v>128</v>
      </c>
      <c r="Q88" s="1" t="s">
        <v>778</v>
      </c>
      <c r="R88" s="1" t="s">
        <v>115</v>
      </c>
      <c r="S88" s="1" t="s">
        <v>661</v>
      </c>
      <c r="T88" t="str">
        <f t="shared" si="1"/>
        <v>KSC-smallbusiness@mail.nasa.gov</v>
      </c>
      <c r="U88" s="1" t="s">
        <v>64</v>
      </c>
      <c r="V88" s="1" t="s">
        <v>115</v>
      </c>
      <c r="W88" s="1" t="s">
        <v>129</v>
      </c>
      <c r="X88" s="1" t="s">
        <v>366</v>
      </c>
      <c r="Y88" s="1" t="s">
        <v>651</v>
      </c>
      <c r="Z88" s="1" t="s">
        <v>69</v>
      </c>
      <c r="AA88" s="1" t="s">
        <v>130</v>
      </c>
      <c r="AB88" s="1" t="s">
        <v>772</v>
      </c>
      <c r="AC88" s="1" t="s">
        <v>72</v>
      </c>
      <c r="AD88" s="3" t="s">
        <v>774</v>
      </c>
      <c r="AE88" s="1"/>
      <c r="AF88" s="1"/>
      <c r="AG88" s="1" t="s">
        <v>74</v>
      </c>
      <c r="AH88" s="1"/>
      <c r="AI88" s="1" t="s">
        <v>95</v>
      </c>
      <c r="AJ88" s="1" t="s">
        <v>64</v>
      </c>
      <c r="AK88" s="1" t="s">
        <v>120</v>
      </c>
      <c r="AL88" s="1" t="s">
        <v>104</v>
      </c>
      <c r="AM88" s="1" t="s">
        <v>115</v>
      </c>
      <c r="AN88" s="1" t="s">
        <v>115</v>
      </c>
      <c r="AO88" s="1" t="s">
        <v>74</v>
      </c>
      <c r="AP88" s="1"/>
      <c r="AQ88" s="1"/>
      <c r="AR88" s="3" t="s">
        <v>774</v>
      </c>
      <c r="AS88" s="1" t="s">
        <v>83</v>
      </c>
      <c r="AT88" s="1" t="s">
        <v>84</v>
      </c>
    </row>
    <row r="89" spans="1:46" ht="19.899999999999999" customHeight="1" x14ac:dyDescent="0.25">
      <c r="A89" s="1" t="s">
        <v>651</v>
      </c>
      <c r="B89" s="1" t="s">
        <v>696</v>
      </c>
      <c r="C89" s="1" t="s">
        <v>48</v>
      </c>
      <c r="D89" s="1" t="s">
        <v>86</v>
      </c>
      <c r="E89" s="1" t="s">
        <v>87</v>
      </c>
      <c r="F89" s="1" t="s">
        <v>108</v>
      </c>
      <c r="G89" s="2">
        <v>9984</v>
      </c>
      <c r="H89" s="1" t="s">
        <v>779</v>
      </c>
      <c r="I89" s="1" t="s">
        <v>780</v>
      </c>
      <c r="J89" s="1" t="s">
        <v>781</v>
      </c>
      <c r="K89" s="1" t="s">
        <v>594</v>
      </c>
      <c r="L89" s="1" t="s">
        <v>55</v>
      </c>
      <c r="M89" s="1" t="s">
        <v>522</v>
      </c>
      <c r="N89" s="1" t="s">
        <v>91</v>
      </c>
      <c r="O89" s="1" t="s">
        <v>92</v>
      </c>
      <c r="P89" s="1" t="s">
        <v>128</v>
      </c>
      <c r="Q89" s="1" t="s">
        <v>525</v>
      </c>
      <c r="R89" s="1" t="s">
        <v>115</v>
      </c>
      <c r="S89" s="1" t="s">
        <v>661</v>
      </c>
      <c r="T89" t="str">
        <f t="shared" si="1"/>
        <v>KSC-smallbusiness@mail.nasa.gov</v>
      </c>
      <c r="U89" s="1" t="s">
        <v>119</v>
      </c>
      <c r="V89" s="1" t="s">
        <v>143</v>
      </c>
      <c r="W89" s="1" t="s">
        <v>66</v>
      </c>
      <c r="X89" s="1" t="s">
        <v>73</v>
      </c>
      <c r="Y89" s="1" t="s">
        <v>651</v>
      </c>
      <c r="Z89" s="1" t="s">
        <v>115</v>
      </c>
      <c r="AA89" s="1" t="s">
        <v>115</v>
      </c>
      <c r="AB89" s="1" t="s">
        <v>100</v>
      </c>
      <c r="AC89" s="1" t="s">
        <v>334</v>
      </c>
      <c r="AD89" s="3" t="s">
        <v>782</v>
      </c>
      <c r="AE89" s="1" t="s">
        <v>118</v>
      </c>
      <c r="AF89" s="1" t="s">
        <v>144</v>
      </c>
      <c r="AG89" s="1" t="s">
        <v>74</v>
      </c>
      <c r="AH89" s="1"/>
      <c r="AI89" s="1" t="s">
        <v>95</v>
      </c>
      <c r="AJ89" s="1" t="s">
        <v>64</v>
      </c>
      <c r="AK89" s="1" t="s">
        <v>103</v>
      </c>
      <c r="AL89" s="1" t="s">
        <v>295</v>
      </c>
      <c r="AM89" s="1" t="s">
        <v>115</v>
      </c>
      <c r="AN89" s="1" t="s">
        <v>105</v>
      </c>
      <c r="AO89" s="1" t="s">
        <v>79</v>
      </c>
      <c r="AP89" s="1" t="s">
        <v>80</v>
      </c>
      <c r="AQ89" s="1" t="s">
        <v>103</v>
      </c>
      <c r="AR89" s="3" t="s">
        <v>783</v>
      </c>
      <c r="AS89" s="1" t="s">
        <v>83</v>
      </c>
      <c r="AT89" s="1" t="s">
        <v>84</v>
      </c>
    </row>
    <row r="90" spans="1:46" ht="19.899999999999999" customHeight="1" x14ac:dyDescent="0.25">
      <c r="A90" s="1" t="s">
        <v>651</v>
      </c>
      <c r="B90" s="1" t="s">
        <v>696</v>
      </c>
      <c r="C90" s="1" t="s">
        <v>48</v>
      </c>
      <c r="D90" s="1" t="s">
        <v>86</v>
      </c>
      <c r="E90" s="1" t="s">
        <v>87</v>
      </c>
      <c r="F90" s="1" t="s">
        <v>108</v>
      </c>
      <c r="G90" s="2">
        <v>9994</v>
      </c>
      <c r="H90" s="1" t="s">
        <v>784</v>
      </c>
      <c r="I90" s="1" t="s">
        <v>785</v>
      </c>
      <c r="J90" s="1" t="s">
        <v>786</v>
      </c>
      <c r="K90" s="1" t="s">
        <v>594</v>
      </c>
      <c r="L90" s="1" t="s">
        <v>55</v>
      </c>
      <c r="M90" s="1" t="s">
        <v>787</v>
      </c>
      <c r="N90" s="1" t="s">
        <v>710</v>
      </c>
      <c r="O90" s="1" t="s">
        <v>711</v>
      </c>
      <c r="P90" s="1" t="s">
        <v>788</v>
      </c>
      <c r="Q90" s="1" t="s">
        <v>789</v>
      </c>
      <c r="R90" s="1" t="s">
        <v>61</v>
      </c>
      <c r="S90" s="1" t="s">
        <v>661</v>
      </c>
      <c r="T90" t="str">
        <f t="shared" si="1"/>
        <v>KSC-smallbusiness@mail.nasa.gov</v>
      </c>
      <c r="U90" s="1" t="s">
        <v>119</v>
      </c>
      <c r="V90" s="1" t="s">
        <v>95</v>
      </c>
      <c r="W90" s="1" t="s">
        <v>66</v>
      </c>
      <c r="X90" s="1" t="s">
        <v>73</v>
      </c>
      <c r="Y90" s="1" t="s">
        <v>662</v>
      </c>
      <c r="Z90" s="1" t="s">
        <v>115</v>
      </c>
      <c r="AA90" s="1" t="s">
        <v>790</v>
      </c>
      <c r="AB90" s="1" t="s">
        <v>87</v>
      </c>
      <c r="AC90" s="1" t="s">
        <v>496</v>
      </c>
      <c r="AD90" s="3" t="s">
        <v>791</v>
      </c>
      <c r="AE90" s="1" t="s">
        <v>118</v>
      </c>
      <c r="AF90" s="1" t="s">
        <v>73</v>
      </c>
      <c r="AG90" s="1" t="s">
        <v>74</v>
      </c>
      <c r="AH90" s="1"/>
      <c r="AI90" s="1" t="s">
        <v>115</v>
      </c>
      <c r="AJ90" s="1" t="s">
        <v>94</v>
      </c>
      <c r="AK90" s="1" t="s">
        <v>76</v>
      </c>
      <c r="AL90" s="1" t="s">
        <v>295</v>
      </c>
      <c r="AM90" s="1" t="s">
        <v>115</v>
      </c>
      <c r="AN90" s="1" t="s">
        <v>105</v>
      </c>
      <c r="AO90" s="1" t="s">
        <v>79</v>
      </c>
      <c r="AP90" s="1" t="s">
        <v>80</v>
      </c>
      <c r="AQ90" s="1" t="s">
        <v>81</v>
      </c>
      <c r="AR90" s="3" t="s">
        <v>792</v>
      </c>
      <c r="AS90" s="1" t="s">
        <v>83</v>
      </c>
      <c r="AT90" s="1" t="s">
        <v>84</v>
      </c>
    </row>
    <row r="91" spans="1:46" ht="19.899999999999999" customHeight="1" x14ac:dyDescent="0.25">
      <c r="A91" s="1" t="s">
        <v>651</v>
      </c>
      <c r="B91" s="1" t="s">
        <v>665</v>
      </c>
      <c r="C91" s="1" t="s">
        <v>48</v>
      </c>
      <c r="D91" s="1" t="s">
        <v>86</v>
      </c>
      <c r="E91" s="1" t="s">
        <v>87</v>
      </c>
      <c r="F91" s="1" t="s">
        <v>108</v>
      </c>
      <c r="G91" s="2">
        <v>10015</v>
      </c>
      <c r="H91" s="1" t="s">
        <v>793</v>
      </c>
      <c r="I91" s="1" t="s">
        <v>794</v>
      </c>
      <c r="J91" s="1" t="s">
        <v>795</v>
      </c>
      <c r="K91" s="1" t="s">
        <v>594</v>
      </c>
      <c r="L91" s="1" t="s">
        <v>55</v>
      </c>
      <c r="M91" s="1" t="s">
        <v>493</v>
      </c>
      <c r="N91" s="1" t="s">
        <v>710</v>
      </c>
      <c r="O91" s="1" t="s">
        <v>711</v>
      </c>
      <c r="P91" s="1" t="s">
        <v>112</v>
      </c>
      <c r="Q91" s="1" t="s">
        <v>494</v>
      </c>
      <c r="R91" s="1" t="s">
        <v>61</v>
      </c>
      <c r="S91" s="1" t="s">
        <v>661</v>
      </c>
      <c r="T91" t="str">
        <f t="shared" si="1"/>
        <v>KSC-smallbusiness@mail.nasa.gov</v>
      </c>
      <c r="U91" s="1" t="s">
        <v>119</v>
      </c>
      <c r="V91" s="1" t="s">
        <v>143</v>
      </c>
      <c r="W91" s="1" t="s">
        <v>66</v>
      </c>
      <c r="X91" s="1" t="s">
        <v>352</v>
      </c>
      <c r="Y91" s="1" t="s">
        <v>651</v>
      </c>
      <c r="Z91" s="1" t="s">
        <v>69</v>
      </c>
      <c r="AA91" s="1" t="s">
        <v>130</v>
      </c>
      <c r="AB91" s="1" t="s">
        <v>262</v>
      </c>
      <c r="AC91" s="1" t="s">
        <v>116</v>
      </c>
      <c r="AD91" s="3"/>
      <c r="AE91" s="1" t="s">
        <v>238</v>
      </c>
      <c r="AF91" s="1" t="s">
        <v>352</v>
      </c>
      <c r="AG91" s="1" t="s">
        <v>74</v>
      </c>
      <c r="AH91" s="1"/>
      <c r="AI91" s="1" t="s">
        <v>95</v>
      </c>
      <c r="AJ91" s="1" t="s">
        <v>119</v>
      </c>
      <c r="AK91" s="1" t="s">
        <v>76</v>
      </c>
      <c r="AL91" s="1" t="s">
        <v>104</v>
      </c>
      <c r="AM91" s="1" t="s">
        <v>77</v>
      </c>
      <c r="AN91" s="1" t="s">
        <v>78</v>
      </c>
      <c r="AO91" s="1" t="s">
        <v>79</v>
      </c>
      <c r="AP91" s="1" t="s">
        <v>80</v>
      </c>
      <c r="AQ91" s="1" t="s">
        <v>120</v>
      </c>
      <c r="AR91" s="3" t="s">
        <v>796</v>
      </c>
      <c r="AS91" s="1" t="s">
        <v>83</v>
      </c>
      <c r="AT91" s="1" t="s">
        <v>84</v>
      </c>
    </row>
    <row r="92" spans="1:46" ht="19.899999999999999" customHeight="1" x14ac:dyDescent="0.25">
      <c r="A92" s="1" t="s">
        <v>651</v>
      </c>
      <c r="B92" s="1" t="s">
        <v>665</v>
      </c>
      <c r="C92" s="1" t="s">
        <v>48</v>
      </c>
      <c r="D92" s="1" t="s">
        <v>86</v>
      </c>
      <c r="E92" s="1" t="s">
        <v>87</v>
      </c>
      <c r="F92" s="1" t="s">
        <v>108</v>
      </c>
      <c r="G92" s="2">
        <v>10052</v>
      </c>
      <c r="H92" s="1" t="s">
        <v>797</v>
      </c>
      <c r="I92" s="1" t="s">
        <v>798</v>
      </c>
      <c r="J92" s="1" t="s">
        <v>799</v>
      </c>
      <c r="K92" s="1" t="s">
        <v>153</v>
      </c>
      <c r="L92" s="1" t="s">
        <v>55</v>
      </c>
      <c r="M92" s="1" t="s">
        <v>360</v>
      </c>
      <c r="N92" s="1" t="s">
        <v>800</v>
      </c>
      <c r="O92" s="1" t="s">
        <v>801</v>
      </c>
      <c r="P92" s="1" t="s">
        <v>802</v>
      </c>
      <c r="Q92" s="1" t="s">
        <v>363</v>
      </c>
      <c r="R92" s="1" t="s">
        <v>115</v>
      </c>
      <c r="S92" s="1" t="s">
        <v>661</v>
      </c>
      <c r="T92" t="str">
        <f t="shared" si="1"/>
        <v>KSC-smallbusiness@mail.nasa.gov</v>
      </c>
      <c r="U92" s="1" t="s">
        <v>113</v>
      </c>
      <c r="V92" s="1" t="s">
        <v>143</v>
      </c>
      <c r="W92" s="1" t="s">
        <v>66</v>
      </c>
      <c r="X92" s="1" t="s">
        <v>67</v>
      </c>
      <c r="Y92" s="1" t="s">
        <v>803</v>
      </c>
      <c r="Z92" s="1" t="s">
        <v>115</v>
      </c>
      <c r="AA92" s="1" t="s">
        <v>804</v>
      </c>
      <c r="AB92" s="1" t="s">
        <v>508</v>
      </c>
      <c r="AC92" s="1" t="s">
        <v>703</v>
      </c>
      <c r="AD92" s="3"/>
      <c r="AE92" s="1"/>
      <c r="AF92" s="1"/>
      <c r="AG92" s="1" t="s">
        <v>74</v>
      </c>
      <c r="AH92" s="1"/>
      <c r="AI92" s="1" t="s">
        <v>114</v>
      </c>
      <c r="AJ92" s="1" t="s">
        <v>113</v>
      </c>
      <c r="AK92" s="1" t="s">
        <v>76</v>
      </c>
      <c r="AL92" s="1" t="s">
        <v>68</v>
      </c>
      <c r="AM92" s="1" t="s">
        <v>182</v>
      </c>
      <c r="AN92" s="1" t="s">
        <v>347</v>
      </c>
      <c r="AO92" s="1" t="s">
        <v>167</v>
      </c>
      <c r="AP92" s="1"/>
      <c r="AQ92" s="1"/>
      <c r="AR92" s="3" t="s">
        <v>805</v>
      </c>
      <c r="AS92" s="1" t="s">
        <v>83</v>
      </c>
      <c r="AT92" s="1" t="s">
        <v>84</v>
      </c>
    </row>
    <row r="93" spans="1:46" ht="19.899999999999999" customHeight="1" x14ac:dyDescent="0.25">
      <c r="A93" s="1" t="s">
        <v>651</v>
      </c>
      <c r="B93" s="1" t="s">
        <v>674</v>
      </c>
      <c r="C93" s="1" t="s">
        <v>48</v>
      </c>
      <c r="D93" s="1" t="s">
        <v>86</v>
      </c>
      <c r="E93" s="1" t="s">
        <v>87</v>
      </c>
      <c r="F93" s="1" t="s">
        <v>108</v>
      </c>
      <c r="G93" s="2">
        <v>10053</v>
      </c>
      <c r="H93" s="1" t="s">
        <v>806</v>
      </c>
      <c r="I93" s="1" t="s">
        <v>807</v>
      </c>
      <c r="J93" s="1" t="s">
        <v>808</v>
      </c>
      <c r="K93" s="1" t="s">
        <v>594</v>
      </c>
      <c r="L93" s="1" t="s">
        <v>55</v>
      </c>
      <c r="M93" s="1" t="s">
        <v>809</v>
      </c>
      <c r="N93" s="1" t="s">
        <v>640</v>
      </c>
      <c r="O93" s="1" t="s">
        <v>641</v>
      </c>
      <c r="P93" s="1" t="s">
        <v>246</v>
      </c>
      <c r="Q93" s="1" t="s">
        <v>810</v>
      </c>
      <c r="R93" s="1" t="s">
        <v>61</v>
      </c>
      <c r="S93" s="1" t="s">
        <v>661</v>
      </c>
      <c r="T93" t="str">
        <f t="shared" si="1"/>
        <v>KSC-smallbusiness@mail.nasa.gov</v>
      </c>
      <c r="U93" s="1" t="s">
        <v>811</v>
      </c>
      <c r="V93" s="1" t="s">
        <v>143</v>
      </c>
      <c r="W93" s="1" t="s">
        <v>129</v>
      </c>
      <c r="X93" s="1" t="s">
        <v>157</v>
      </c>
      <c r="Y93" s="1" t="s">
        <v>812</v>
      </c>
      <c r="Z93" s="1" t="s">
        <v>115</v>
      </c>
      <c r="AA93" s="1" t="s">
        <v>130</v>
      </c>
      <c r="AB93" s="1" t="s">
        <v>87</v>
      </c>
      <c r="AC93" s="1" t="s">
        <v>813</v>
      </c>
      <c r="AD93" s="3"/>
      <c r="AE93" s="1"/>
      <c r="AF93" s="1"/>
      <c r="AG93" s="1" t="s">
        <v>74</v>
      </c>
      <c r="AH93" s="1"/>
      <c r="AI93" s="1" t="s">
        <v>143</v>
      </c>
      <c r="AJ93" s="1" t="s">
        <v>679</v>
      </c>
      <c r="AK93" s="1" t="s">
        <v>76</v>
      </c>
      <c r="AL93" s="1" t="s">
        <v>197</v>
      </c>
      <c r="AM93" s="1"/>
      <c r="AN93" s="1" t="s">
        <v>105</v>
      </c>
      <c r="AO93" s="1" t="s">
        <v>74</v>
      </c>
      <c r="AP93" s="1"/>
      <c r="AQ93" s="1"/>
      <c r="AR93" s="3" t="s">
        <v>814</v>
      </c>
      <c r="AS93" s="1" t="s">
        <v>83</v>
      </c>
      <c r="AT93" s="1" t="s">
        <v>84</v>
      </c>
    </row>
    <row r="94" spans="1:46" ht="19.899999999999999" customHeight="1" x14ac:dyDescent="0.25">
      <c r="A94" s="1" t="s">
        <v>651</v>
      </c>
      <c r="B94" s="1" t="s">
        <v>652</v>
      </c>
      <c r="C94" s="1" t="s">
        <v>48</v>
      </c>
      <c r="D94" s="1" t="s">
        <v>86</v>
      </c>
      <c r="E94" s="1" t="s">
        <v>87</v>
      </c>
      <c r="F94" s="1" t="s">
        <v>49</v>
      </c>
      <c r="G94" s="2">
        <v>10072</v>
      </c>
      <c r="H94" s="1" t="s">
        <v>815</v>
      </c>
      <c r="I94" s="1" t="s">
        <v>654</v>
      </c>
      <c r="J94" s="1" t="s">
        <v>759</v>
      </c>
      <c r="K94" s="1" t="s">
        <v>594</v>
      </c>
      <c r="L94" s="1" t="s">
        <v>55</v>
      </c>
      <c r="M94" s="1" t="s">
        <v>816</v>
      </c>
      <c r="N94" s="1" t="s">
        <v>554</v>
      </c>
      <c r="O94" s="1" t="s">
        <v>555</v>
      </c>
      <c r="P94" s="1" t="s">
        <v>128</v>
      </c>
      <c r="Q94" s="1" t="s">
        <v>817</v>
      </c>
      <c r="R94" s="1" t="s">
        <v>61</v>
      </c>
      <c r="S94" s="1" t="s">
        <v>661</v>
      </c>
      <c r="T94" t="str">
        <f t="shared" si="1"/>
        <v>KSC-smallbusiness@mail.nasa.gov</v>
      </c>
      <c r="U94" s="1" t="s">
        <v>64</v>
      </c>
      <c r="V94" s="1" t="s">
        <v>65</v>
      </c>
      <c r="W94" s="1" t="s">
        <v>129</v>
      </c>
      <c r="X94" s="1" t="s">
        <v>343</v>
      </c>
      <c r="Y94" s="1" t="s">
        <v>812</v>
      </c>
      <c r="Z94" s="1" t="s">
        <v>69</v>
      </c>
      <c r="AA94" s="1" t="s">
        <v>130</v>
      </c>
      <c r="AB94" s="1" t="s">
        <v>408</v>
      </c>
      <c r="AC94" s="1" t="s">
        <v>263</v>
      </c>
      <c r="AD94" s="3" t="s">
        <v>818</v>
      </c>
      <c r="AE94" s="1" t="s">
        <v>343</v>
      </c>
      <c r="AF94" s="1" t="s">
        <v>366</v>
      </c>
      <c r="AG94" s="1" t="s">
        <v>74</v>
      </c>
      <c r="AH94" s="1"/>
      <c r="AI94" s="1" t="s">
        <v>114</v>
      </c>
      <c r="AJ94" s="1" t="s">
        <v>64</v>
      </c>
      <c r="AK94" s="1" t="s">
        <v>345</v>
      </c>
      <c r="AL94" s="1" t="s">
        <v>104</v>
      </c>
      <c r="AM94" s="1" t="s">
        <v>149</v>
      </c>
      <c r="AN94" s="1" t="s">
        <v>105</v>
      </c>
      <c r="AO94" s="1" t="s">
        <v>79</v>
      </c>
      <c r="AP94" s="1" t="s">
        <v>120</v>
      </c>
      <c r="AQ94" s="1" t="s">
        <v>120</v>
      </c>
      <c r="AR94" s="3" t="s">
        <v>819</v>
      </c>
      <c r="AS94" s="1" t="s">
        <v>83</v>
      </c>
      <c r="AT94" s="1" t="s">
        <v>84</v>
      </c>
    </row>
    <row r="95" spans="1:46" ht="19.899999999999999" customHeight="1" x14ac:dyDescent="0.25">
      <c r="A95" s="1" t="s">
        <v>651</v>
      </c>
      <c r="B95" s="1" t="s">
        <v>696</v>
      </c>
      <c r="C95" s="1" t="s">
        <v>48</v>
      </c>
      <c r="D95" s="1" t="s">
        <v>170</v>
      </c>
      <c r="E95" s="1" t="s">
        <v>170</v>
      </c>
      <c r="F95" s="1" t="s">
        <v>171</v>
      </c>
      <c r="G95" s="2">
        <v>10082</v>
      </c>
      <c r="H95" s="1" t="s">
        <v>820</v>
      </c>
      <c r="I95" s="1" t="s">
        <v>821</v>
      </c>
      <c r="J95" s="1" t="s">
        <v>822</v>
      </c>
      <c r="K95" s="1" t="s">
        <v>823</v>
      </c>
      <c r="L95" s="1" t="s">
        <v>55</v>
      </c>
      <c r="M95" s="1" t="s">
        <v>56</v>
      </c>
      <c r="N95" s="1" t="s">
        <v>824</v>
      </c>
      <c r="O95" s="1" t="s">
        <v>825</v>
      </c>
      <c r="P95" s="1" t="s">
        <v>128</v>
      </c>
      <c r="Q95" s="1" t="s">
        <v>60</v>
      </c>
      <c r="R95" s="1" t="s">
        <v>61</v>
      </c>
      <c r="S95" s="1" t="s">
        <v>661</v>
      </c>
      <c r="T95" t="str">
        <f t="shared" si="1"/>
        <v>KSC-smallbusiness@mail.nasa.gov</v>
      </c>
      <c r="U95" s="1" t="s">
        <v>64</v>
      </c>
      <c r="V95" s="1" t="s">
        <v>95</v>
      </c>
      <c r="W95" s="1" t="s">
        <v>129</v>
      </c>
      <c r="X95" s="1" t="s">
        <v>343</v>
      </c>
      <c r="Y95" s="1" t="s">
        <v>826</v>
      </c>
      <c r="Z95" s="1" t="s">
        <v>69</v>
      </c>
      <c r="AA95" s="1" t="s">
        <v>130</v>
      </c>
      <c r="AB95" s="1" t="s">
        <v>827</v>
      </c>
      <c r="AC95" s="1" t="s">
        <v>828</v>
      </c>
      <c r="AD95" s="3" t="s">
        <v>829</v>
      </c>
      <c r="AE95" s="1"/>
      <c r="AF95" s="1"/>
      <c r="AG95" s="1" t="s">
        <v>74</v>
      </c>
      <c r="AH95" s="1"/>
      <c r="AI95" s="1" t="s">
        <v>114</v>
      </c>
      <c r="AJ95" s="1" t="s">
        <v>64</v>
      </c>
      <c r="AK95" s="1" t="s">
        <v>80</v>
      </c>
      <c r="AL95" s="1" t="s">
        <v>346</v>
      </c>
      <c r="AM95" s="1" t="s">
        <v>133</v>
      </c>
      <c r="AN95" s="1" t="s">
        <v>367</v>
      </c>
      <c r="AO95" s="1" t="s">
        <v>74</v>
      </c>
      <c r="AP95" s="1"/>
      <c r="AQ95" s="1"/>
      <c r="AR95" s="3" t="s">
        <v>830</v>
      </c>
      <c r="AS95" s="1" t="s">
        <v>83</v>
      </c>
      <c r="AT95" s="1" t="s">
        <v>84</v>
      </c>
    </row>
    <row r="96" spans="1:46" ht="19.899999999999999" customHeight="1" x14ac:dyDescent="0.25">
      <c r="A96" s="1" t="s">
        <v>651</v>
      </c>
      <c r="B96" s="1" t="s">
        <v>652</v>
      </c>
      <c r="C96" s="1" t="s">
        <v>48</v>
      </c>
      <c r="D96" s="1" t="s">
        <v>170</v>
      </c>
      <c r="E96" s="1" t="s">
        <v>170</v>
      </c>
      <c r="F96" s="1" t="s">
        <v>171</v>
      </c>
      <c r="G96" s="2">
        <v>10104</v>
      </c>
      <c r="H96" s="1" t="s">
        <v>831</v>
      </c>
      <c r="I96" s="1" t="s">
        <v>832</v>
      </c>
      <c r="J96" s="1" t="s">
        <v>833</v>
      </c>
      <c r="K96" s="1" t="s">
        <v>594</v>
      </c>
      <c r="L96" s="1" t="s">
        <v>55</v>
      </c>
      <c r="M96" s="1" t="s">
        <v>139</v>
      </c>
      <c r="N96" s="1" t="s">
        <v>753</v>
      </c>
      <c r="O96" s="1" t="s">
        <v>754</v>
      </c>
      <c r="P96" s="1" t="s">
        <v>317</v>
      </c>
      <c r="Q96" s="1" t="s">
        <v>142</v>
      </c>
      <c r="R96" s="1" t="s">
        <v>61</v>
      </c>
      <c r="S96" s="1" t="s">
        <v>661</v>
      </c>
      <c r="T96" t="str">
        <f t="shared" si="1"/>
        <v>KSC-smallbusiness@mail.nasa.gov</v>
      </c>
      <c r="U96" s="1" t="s">
        <v>64</v>
      </c>
      <c r="V96" s="1" t="s">
        <v>143</v>
      </c>
      <c r="W96" s="1" t="s">
        <v>129</v>
      </c>
      <c r="X96" s="1" t="s">
        <v>343</v>
      </c>
      <c r="Y96" s="1" t="s">
        <v>651</v>
      </c>
      <c r="Z96" s="1" t="s">
        <v>69</v>
      </c>
      <c r="AA96" s="1" t="s">
        <v>130</v>
      </c>
      <c r="AB96" s="1" t="s">
        <v>146</v>
      </c>
      <c r="AC96" s="1" t="s">
        <v>131</v>
      </c>
      <c r="AD96" s="3"/>
      <c r="AE96" s="1"/>
      <c r="AF96" s="1"/>
      <c r="AG96" s="1" t="s">
        <v>74</v>
      </c>
      <c r="AH96" s="1"/>
      <c r="AI96" s="1" t="s">
        <v>115</v>
      </c>
      <c r="AJ96" s="1" t="s">
        <v>64</v>
      </c>
      <c r="AK96" s="1" t="s">
        <v>80</v>
      </c>
      <c r="AL96" s="1" t="s">
        <v>68</v>
      </c>
      <c r="AM96" s="1" t="s">
        <v>149</v>
      </c>
      <c r="AN96" s="1" t="s">
        <v>115</v>
      </c>
      <c r="AO96" s="1" t="s">
        <v>74</v>
      </c>
      <c r="AP96" s="1"/>
      <c r="AQ96" s="1"/>
      <c r="AR96" s="3" t="s">
        <v>834</v>
      </c>
      <c r="AS96" s="1" t="s">
        <v>83</v>
      </c>
      <c r="AT96" s="1" t="s">
        <v>84</v>
      </c>
    </row>
    <row r="97" spans="1:46" ht="19.899999999999999" customHeight="1" x14ac:dyDescent="0.25">
      <c r="A97" s="1" t="s">
        <v>651</v>
      </c>
      <c r="B97" s="1" t="s">
        <v>652</v>
      </c>
      <c r="C97" s="1" t="s">
        <v>48</v>
      </c>
      <c r="D97" s="1" t="s">
        <v>86</v>
      </c>
      <c r="E97" s="1" t="s">
        <v>87</v>
      </c>
      <c r="F97" s="1" t="s">
        <v>108</v>
      </c>
      <c r="G97" s="2">
        <v>10107</v>
      </c>
      <c r="H97" s="1" t="s">
        <v>835</v>
      </c>
      <c r="I97" s="1" t="s">
        <v>836</v>
      </c>
      <c r="J97" s="1" t="s">
        <v>837</v>
      </c>
      <c r="K97" s="1" t="s">
        <v>115</v>
      </c>
      <c r="L97" s="1" t="s">
        <v>115</v>
      </c>
      <c r="M97" s="1" t="s">
        <v>522</v>
      </c>
      <c r="N97" s="1" t="s">
        <v>838</v>
      </c>
      <c r="O97" s="1" t="s">
        <v>839</v>
      </c>
      <c r="P97" s="1" t="s">
        <v>317</v>
      </c>
      <c r="Q97" s="1" t="s">
        <v>525</v>
      </c>
      <c r="R97" s="1" t="s">
        <v>61</v>
      </c>
      <c r="S97" s="1" t="s">
        <v>661</v>
      </c>
      <c r="T97" t="str">
        <f t="shared" si="1"/>
        <v>KSC-smallbusiness@mail.nasa.gov</v>
      </c>
      <c r="U97" s="1" t="s">
        <v>94</v>
      </c>
      <c r="V97" s="1" t="s">
        <v>95</v>
      </c>
      <c r="W97" s="1" t="s">
        <v>66</v>
      </c>
      <c r="X97" s="1" t="s">
        <v>67</v>
      </c>
      <c r="Y97" s="1" t="s">
        <v>115</v>
      </c>
      <c r="Z97" s="1" t="s">
        <v>293</v>
      </c>
      <c r="AA97" s="1" t="s">
        <v>87</v>
      </c>
      <c r="AB97" s="1" t="s">
        <v>772</v>
      </c>
      <c r="AC97" s="1" t="s">
        <v>101</v>
      </c>
      <c r="AD97" s="3" t="s">
        <v>840</v>
      </c>
      <c r="AE97" s="1"/>
      <c r="AF97" s="1"/>
      <c r="AG97" s="1" t="s">
        <v>74</v>
      </c>
      <c r="AH97" s="1"/>
      <c r="AI97" s="1" t="s">
        <v>143</v>
      </c>
      <c r="AJ97" s="1" t="s">
        <v>75</v>
      </c>
      <c r="AK97" s="1" t="s">
        <v>76</v>
      </c>
      <c r="AL97" s="1" t="s">
        <v>197</v>
      </c>
      <c r="AM97" s="1" t="s">
        <v>149</v>
      </c>
      <c r="AN97" s="1" t="s">
        <v>78</v>
      </c>
      <c r="AO97" s="1" t="s">
        <v>74</v>
      </c>
      <c r="AP97" s="1"/>
      <c r="AQ97" s="1"/>
      <c r="AR97" s="3" t="s">
        <v>841</v>
      </c>
      <c r="AS97" s="1" t="s">
        <v>83</v>
      </c>
      <c r="AT97" s="1" t="s">
        <v>84</v>
      </c>
    </row>
    <row r="98" spans="1:46" ht="19.899999999999999" customHeight="1" x14ac:dyDescent="0.25">
      <c r="A98" s="1" t="s">
        <v>651</v>
      </c>
      <c r="B98" s="1" t="s">
        <v>652</v>
      </c>
      <c r="C98" s="1" t="s">
        <v>48</v>
      </c>
      <c r="D98" s="1" t="s">
        <v>49</v>
      </c>
      <c r="E98" s="1" t="s">
        <v>49</v>
      </c>
      <c r="F98" s="1" t="s">
        <v>49</v>
      </c>
      <c r="G98" s="2">
        <v>10109</v>
      </c>
      <c r="H98" s="1" t="s">
        <v>842</v>
      </c>
      <c r="I98" s="1" t="s">
        <v>751</v>
      </c>
      <c r="J98" s="1" t="s">
        <v>752</v>
      </c>
      <c r="K98" s="1" t="s">
        <v>594</v>
      </c>
      <c r="L98" s="1" t="s">
        <v>55</v>
      </c>
      <c r="M98" s="1" t="s">
        <v>139</v>
      </c>
      <c r="N98" s="1" t="s">
        <v>753</v>
      </c>
      <c r="O98" s="1" t="s">
        <v>754</v>
      </c>
      <c r="P98" s="1" t="s">
        <v>112</v>
      </c>
      <c r="Q98" s="1" t="s">
        <v>142</v>
      </c>
      <c r="R98" s="1" t="s">
        <v>61</v>
      </c>
      <c r="S98" s="1" t="s">
        <v>661</v>
      </c>
      <c r="T98" t="str">
        <f t="shared" si="1"/>
        <v>KSC-smallbusiness@mail.nasa.gov</v>
      </c>
      <c r="U98" s="1" t="s">
        <v>64</v>
      </c>
      <c r="V98" s="1" t="s">
        <v>143</v>
      </c>
      <c r="W98" s="1" t="s">
        <v>129</v>
      </c>
      <c r="X98" s="1" t="s">
        <v>118</v>
      </c>
      <c r="Y98" s="1" t="s">
        <v>651</v>
      </c>
      <c r="Z98" s="1" t="s">
        <v>115</v>
      </c>
      <c r="AA98" s="1" t="s">
        <v>130</v>
      </c>
      <c r="AB98" s="1" t="s">
        <v>146</v>
      </c>
      <c r="AC98" s="1" t="s">
        <v>131</v>
      </c>
      <c r="AD98" s="3"/>
      <c r="AE98" s="1"/>
      <c r="AF98" s="1"/>
      <c r="AG98" s="1" t="s">
        <v>74</v>
      </c>
      <c r="AH98" s="1"/>
      <c r="AI98" s="1" t="s">
        <v>65</v>
      </c>
      <c r="AJ98" s="1" t="s">
        <v>64</v>
      </c>
      <c r="AK98" s="1" t="s">
        <v>76</v>
      </c>
      <c r="AL98" s="1" t="s">
        <v>68</v>
      </c>
      <c r="AM98" s="1" t="s">
        <v>149</v>
      </c>
      <c r="AN98" s="1" t="s">
        <v>115</v>
      </c>
      <c r="AO98" s="1" t="s">
        <v>74</v>
      </c>
      <c r="AP98" s="1"/>
      <c r="AQ98" s="1"/>
      <c r="AR98" s="3" t="s">
        <v>843</v>
      </c>
      <c r="AS98" s="1" t="s">
        <v>83</v>
      </c>
      <c r="AT98" s="1" t="s">
        <v>84</v>
      </c>
    </row>
    <row r="99" spans="1:46" ht="19.899999999999999" customHeight="1" x14ac:dyDescent="0.25">
      <c r="A99" s="1" t="s">
        <v>651</v>
      </c>
      <c r="B99" s="1" t="s">
        <v>652</v>
      </c>
      <c r="C99" s="1" t="s">
        <v>48</v>
      </c>
      <c r="D99" s="1" t="s">
        <v>49</v>
      </c>
      <c r="E99" s="1" t="s">
        <v>49</v>
      </c>
      <c r="F99" s="1" t="s">
        <v>49</v>
      </c>
      <c r="G99" s="2">
        <v>10112</v>
      </c>
      <c r="H99" s="1" t="s">
        <v>844</v>
      </c>
      <c r="I99" s="1" t="s">
        <v>751</v>
      </c>
      <c r="J99" s="1" t="s">
        <v>752</v>
      </c>
      <c r="K99" s="1" t="s">
        <v>594</v>
      </c>
      <c r="L99" s="1" t="s">
        <v>55</v>
      </c>
      <c r="M99" s="1" t="s">
        <v>139</v>
      </c>
      <c r="N99" s="1" t="s">
        <v>753</v>
      </c>
      <c r="O99" s="1" t="s">
        <v>754</v>
      </c>
      <c r="P99" s="1" t="s">
        <v>112</v>
      </c>
      <c r="Q99" s="1" t="s">
        <v>142</v>
      </c>
      <c r="R99" s="1" t="s">
        <v>61</v>
      </c>
      <c r="S99" s="1" t="s">
        <v>661</v>
      </c>
      <c r="T99" t="str">
        <f t="shared" si="1"/>
        <v>KSC-smallbusiness@mail.nasa.gov</v>
      </c>
      <c r="U99" s="1" t="s">
        <v>64</v>
      </c>
      <c r="V99" s="1" t="s">
        <v>143</v>
      </c>
      <c r="W99" s="1" t="s">
        <v>129</v>
      </c>
      <c r="X99" s="1" t="s">
        <v>144</v>
      </c>
      <c r="Y99" s="1" t="s">
        <v>651</v>
      </c>
      <c r="Z99" s="1" t="s">
        <v>115</v>
      </c>
      <c r="AA99" s="1" t="s">
        <v>130</v>
      </c>
      <c r="AB99" s="1" t="s">
        <v>146</v>
      </c>
      <c r="AC99" s="1" t="s">
        <v>131</v>
      </c>
      <c r="AD99" s="3"/>
      <c r="AE99" s="1"/>
      <c r="AF99" s="1"/>
      <c r="AG99" s="1" t="s">
        <v>74</v>
      </c>
      <c r="AH99" s="1"/>
      <c r="AI99" s="1" t="s">
        <v>65</v>
      </c>
      <c r="AJ99" s="1" t="s">
        <v>64</v>
      </c>
      <c r="AK99" s="1" t="s">
        <v>81</v>
      </c>
      <c r="AL99" s="1" t="s">
        <v>68</v>
      </c>
      <c r="AM99" s="1" t="s">
        <v>149</v>
      </c>
      <c r="AN99" s="1" t="s">
        <v>115</v>
      </c>
      <c r="AO99" s="1" t="s">
        <v>167</v>
      </c>
      <c r="AP99" s="1"/>
      <c r="AQ99" s="1"/>
      <c r="AR99" s="3" t="s">
        <v>845</v>
      </c>
      <c r="AS99" s="1" t="s">
        <v>83</v>
      </c>
      <c r="AT99" s="1" t="s">
        <v>84</v>
      </c>
    </row>
    <row r="100" spans="1:46" ht="19.899999999999999" customHeight="1" x14ac:dyDescent="0.25">
      <c r="A100" s="1" t="s">
        <v>651</v>
      </c>
      <c r="B100" s="1" t="s">
        <v>652</v>
      </c>
      <c r="C100" s="1" t="s">
        <v>48</v>
      </c>
      <c r="D100" s="1" t="s">
        <v>49</v>
      </c>
      <c r="E100" s="1" t="s">
        <v>49</v>
      </c>
      <c r="F100" s="1" t="s">
        <v>49</v>
      </c>
      <c r="G100" s="2">
        <v>10113</v>
      </c>
      <c r="H100" s="1" t="s">
        <v>846</v>
      </c>
      <c r="I100" s="1" t="s">
        <v>751</v>
      </c>
      <c r="J100" s="1" t="s">
        <v>752</v>
      </c>
      <c r="K100" s="1" t="s">
        <v>594</v>
      </c>
      <c r="L100" s="1" t="s">
        <v>55</v>
      </c>
      <c r="M100" s="1" t="s">
        <v>139</v>
      </c>
      <c r="N100" s="1" t="s">
        <v>753</v>
      </c>
      <c r="O100" s="1" t="s">
        <v>754</v>
      </c>
      <c r="P100" s="1" t="s">
        <v>112</v>
      </c>
      <c r="Q100" s="1" t="s">
        <v>142</v>
      </c>
      <c r="R100" s="1" t="s">
        <v>61</v>
      </c>
      <c r="S100" s="1" t="s">
        <v>661</v>
      </c>
      <c r="T100" t="str">
        <f t="shared" si="1"/>
        <v>KSC-smallbusiness@mail.nasa.gov</v>
      </c>
      <c r="U100" s="1" t="s">
        <v>64</v>
      </c>
      <c r="V100" s="1" t="s">
        <v>143</v>
      </c>
      <c r="W100" s="1" t="s">
        <v>129</v>
      </c>
      <c r="X100" s="1" t="s">
        <v>144</v>
      </c>
      <c r="Y100" s="1" t="s">
        <v>651</v>
      </c>
      <c r="Z100" s="1" t="s">
        <v>115</v>
      </c>
      <c r="AA100" s="1" t="s">
        <v>130</v>
      </c>
      <c r="AB100" s="1" t="s">
        <v>146</v>
      </c>
      <c r="AC100" s="1" t="s">
        <v>131</v>
      </c>
      <c r="AD100" s="3"/>
      <c r="AE100" s="1"/>
      <c r="AF100" s="1"/>
      <c r="AG100" s="1" t="s">
        <v>74</v>
      </c>
      <c r="AH100" s="1"/>
      <c r="AI100" s="1" t="s">
        <v>65</v>
      </c>
      <c r="AJ100" s="1" t="s">
        <v>64</v>
      </c>
      <c r="AK100" s="1" t="s">
        <v>81</v>
      </c>
      <c r="AL100" s="1" t="s">
        <v>68</v>
      </c>
      <c r="AM100" s="1" t="s">
        <v>149</v>
      </c>
      <c r="AN100" s="1" t="s">
        <v>115</v>
      </c>
      <c r="AO100" s="1" t="s">
        <v>167</v>
      </c>
      <c r="AP100" s="1"/>
      <c r="AQ100" s="1"/>
      <c r="AR100" s="3" t="s">
        <v>847</v>
      </c>
      <c r="AS100" s="1" t="s">
        <v>83</v>
      </c>
      <c r="AT100" s="1" t="s">
        <v>84</v>
      </c>
    </row>
    <row r="101" spans="1:46" ht="19.899999999999999" customHeight="1" x14ac:dyDescent="0.25">
      <c r="A101" s="1" t="s">
        <v>651</v>
      </c>
      <c r="B101" s="1" t="s">
        <v>652</v>
      </c>
      <c r="C101" s="1" t="s">
        <v>48</v>
      </c>
      <c r="D101" s="1" t="s">
        <v>49</v>
      </c>
      <c r="E101" s="1" t="s">
        <v>49</v>
      </c>
      <c r="F101" s="1" t="s">
        <v>49</v>
      </c>
      <c r="G101" s="2">
        <v>10114</v>
      </c>
      <c r="H101" s="1" t="s">
        <v>848</v>
      </c>
      <c r="I101" s="1" t="s">
        <v>751</v>
      </c>
      <c r="J101" s="1" t="s">
        <v>752</v>
      </c>
      <c r="K101" s="1" t="s">
        <v>594</v>
      </c>
      <c r="L101" s="1" t="s">
        <v>55</v>
      </c>
      <c r="M101" s="1" t="s">
        <v>139</v>
      </c>
      <c r="N101" s="1" t="s">
        <v>753</v>
      </c>
      <c r="O101" s="1" t="s">
        <v>754</v>
      </c>
      <c r="P101" s="1" t="s">
        <v>112</v>
      </c>
      <c r="Q101" s="1" t="s">
        <v>142</v>
      </c>
      <c r="R101" s="1" t="s">
        <v>61</v>
      </c>
      <c r="S101" s="1" t="s">
        <v>661</v>
      </c>
      <c r="T101" t="str">
        <f t="shared" si="1"/>
        <v>KSC-smallbusiness@mail.nasa.gov</v>
      </c>
      <c r="U101" s="1" t="s">
        <v>64</v>
      </c>
      <c r="V101" s="1" t="s">
        <v>143</v>
      </c>
      <c r="W101" s="1" t="s">
        <v>129</v>
      </c>
      <c r="X101" s="1" t="s">
        <v>352</v>
      </c>
      <c r="Y101" s="1" t="s">
        <v>651</v>
      </c>
      <c r="Z101" s="1" t="s">
        <v>115</v>
      </c>
      <c r="AA101" s="1" t="s">
        <v>130</v>
      </c>
      <c r="AB101" s="1" t="s">
        <v>146</v>
      </c>
      <c r="AC101" s="1" t="s">
        <v>131</v>
      </c>
      <c r="AD101" s="3"/>
      <c r="AE101" s="1"/>
      <c r="AF101" s="1"/>
      <c r="AG101" s="1" t="s">
        <v>74</v>
      </c>
      <c r="AH101" s="1"/>
      <c r="AI101" s="1" t="s">
        <v>65</v>
      </c>
      <c r="AJ101" s="1" t="s">
        <v>64</v>
      </c>
      <c r="AK101" s="1" t="s">
        <v>80</v>
      </c>
      <c r="AL101" s="1" t="s">
        <v>68</v>
      </c>
      <c r="AM101" s="1" t="s">
        <v>149</v>
      </c>
      <c r="AN101" s="1" t="s">
        <v>115</v>
      </c>
      <c r="AO101" s="1" t="s">
        <v>167</v>
      </c>
      <c r="AP101" s="1"/>
      <c r="AQ101" s="1"/>
      <c r="AR101" s="3" t="s">
        <v>849</v>
      </c>
      <c r="AS101" s="1" t="s">
        <v>83</v>
      </c>
      <c r="AT101" s="1" t="s">
        <v>84</v>
      </c>
    </row>
    <row r="102" spans="1:46" ht="19.899999999999999" customHeight="1" x14ac:dyDescent="0.25">
      <c r="A102" s="1" t="s">
        <v>651</v>
      </c>
      <c r="B102" s="1" t="s">
        <v>665</v>
      </c>
      <c r="C102" s="1" t="s">
        <v>48</v>
      </c>
      <c r="D102" s="1" t="s">
        <v>86</v>
      </c>
      <c r="E102" s="1" t="s">
        <v>87</v>
      </c>
      <c r="F102" s="1" t="s">
        <v>108</v>
      </c>
      <c r="G102" s="2">
        <v>10145</v>
      </c>
      <c r="H102" s="1" t="s">
        <v>850</v>
      </c>
      <c r="I102" s="1" t="s">
        <v>707</v>
      </c>
      <c r="J102" s="1" t="s">
        <v>708</v>
      </c>
      <c r="K102" s="1" t="s">
        <v>153</v>
      </c>
      <c r="L102" s="1" t="s">
        <v>55</v>
      </c>
      <c r="M102" s="1" t="s">
        <v>851</v>
      </c>
      <c r="N102" s="1" t="s">
        <v>852</v>
      </c>
      <c r="O102" s="1" t="s">
        <v>853</v>
      </c>
      <c r="P102" s="1" t="s">
        <v>112</v>
      </c>
      <c r="Q102" s="1" t="s">
        <v>854</v>
      </c>
      <c r="R102" s="1" t="s">
        <v>61</v>
      </c>
      <c r="S102" s="1" t="s">
        <v>661</v>
      </c>
      <c r="T102" t="str">
        <f t="shared" si="1"/>
        <v>KSC-smallbusiness@mail.nasa.gov</v>
      </c>
      <c r="U102" s="1" t="s">
        <v>94</v>
      </c>
      <c r="V102" s="1" t="s">
        <v>114</v>
      </c>
      <c r="W102" s="1" t="s">
        <v>66</v>
      </c>
      <c r="X102" s="1" t="s">
        <v>67</v>
      </c>
      <c r="Y102" s="1" t="s">
        <v>68</v>
      </c>
      <c r="Z102" s="1" t="s">
        <v>69</v>
      </c>
      <c r="AA102" s="1" t="s">
        <v>130</v>
      </c>
      <c r="AB102" s="1" t="s">
        <v>713</v>
      </c>
      <c r="AC102" s="1" t="s">
        <v>131</v>
      </c>
      <c r="AD102" s="3" t="s">
        <v>855</v>
      </c>
      <c r="AE102" s="1" t="s">
        <v>144</v>
      </c>
      <c r="AF102" s="1" t="s">
        <v>67</v>
      </c>
      <c r="AG102" s="1" t="s">
        <v>74</v>
      </c>
      <c r="AH102" s="1"/>
      <c r="AI102" s="1" t="s">
        <v>65</v>
      </c>
      <c r="AJ102" s="1" t="s">
        <v>64</v>
      </c>
      <c r="AK102" s="1" t="s">
        <v>76</v>
      </c>
      <c r="AL102" s="1" t="s">
        <v>104</v>
      </c>
      <c r="AM102" s="1" t="s">
        <v>77</v>
      </c>
      <c r="AN102" s="1" t="s">
        <v>115</v>
      </c>
      <c r="AO102" s="1" t="s">
        <v>79</v>
      </c>
      <c r="AP102" s="1" t="s">
        <v>120</v>
      </c>
      <c r="AQ102" s="1" t="s">
        <v>443</v>
      </c>
      <c r="AR102" s="3" t="s">
        <v>856</v>
      </c>
      <c r="AS102" s="1" t="s">
        <v>83</v>
      </c>
      <c r="AT102" s="1" t="s">
        <v>84</v>
      </c>
    </row>
    <row r="103" spans="1:46" ht="19.899999999999999" customHeight="1" x14ac:dyDescent="0.25">
      <c r="A103" s="1" t="s">
        <v>857</v>
      </c>
      <c r="B103" s="1"/>
      <c r="C103" s="1" t="s">
        <v>48</v>
      </c>
      <c r="D103" s="1" t="s">
        <v>86</v>
      </c>
      <c r="E103" s="1" t="s">
        <v>87</v>
      </c>
      <c r="F103" s="1" t="s">
        <v>50</v>
      </c>
      <c r="G103" s="2">
        <v>796</v>
      </c>
      <c r="H103" s="1" t="s">
        <v>858</v>
      </c>
      <c r="I103" s="1" t="s">
        <v>859</v>
      </c>
      <c r="J103" s="1" t="s">
        <v>860</v>
      </c>
      <c r="K103" s="1" t="s">
        <v>302</v>
      </c>
      <c r="L103" s="1" t="s">
        <v>55</v>
      </c>
      <c r="M103" s="1" t="s">
        <v>314</v>
      </c>
      <c r="N103" s="1" t="s">
        <v>861</v>
      </c>
      <c r="O103" s="1" t="s">
        <v>862</v>
      </c>
      <c r="P103" s="1" t="s">
        <v>189</v>
      </c>
      <c r="Q103" s="1" t="s">
        <v>318</v>
      </c>
      <c r="R103" s="1" t="s">
        <v>61</v>
      </c>
      <c r="S103" s="1" t="s">
        <v>863</v>
      </c>
      <c r="T103" t="str">
        <f t="shared" si="1"/>
        <v>ARC-smallbusiness@mail.nasa.gov</v>
      </c>
      <c r="U103" s="1" t="s">
        <v>64</v>
      </c>
      <c r="V103" s="1" t="s">
        <v>65</v>
      </c>
      <c r="W103" s="1" t="s">
        <v>66</v>
      </c>
      <c r="X103" s="1" t="s">
        <v>73</v>
      </c>
      <c r="Y103" s="1" t="s">
        <v>864</v>
      </c>
      <c r="Z103" s="1" t="s">
        <v>261</v>
      </c>
      <c r="AA103" s="1" t="s">
        <v>99</v>
      </c>
      <c r="AB103" s="1" t="s">
        <v>865</v>
      </c>
      <c r="AC103" s="1" t="s">
        <v>230</v>
      </c>
      <c r="AD103" s="3" t="s">
        <v>866</v>
      </c>
      <c r="AE103" s="1" t="s">
        <v>352</v>
      </c>
      <c r="AF103" s="1" t="s">
        <v>73</v>
      </c>
      <c r="AG103" s="1" t="s">
        <v>74</v>
      </c>
      <c r="AH103" s="1"/>
      <c r="AI103" s="1" t="s">
        <v>65</v>
      </c>
      <c r="AJ103" s="1" t="s">
        <v>75</v>
      </c>
      <c r="AK103" s="1" t="s">
        <v>76</v>
      </c>
      <c r="AL103" s="1" t="s">
        <v>104</v>
      </c>
      <c r="AM103" s="1" t="s">
        <v>77</v>
      </c>
      <c r="AN103" s="1" t="s">
        <v>78</v>
      </c>
      <c r="AO103" s="1" t="s">
        <v>79</v>
      </c>
      <c r="AP103" s="1" t="s">
        <v>120</v>
      </c>
      <c r="AQ103" s="1" t="s">
        <v>443</v>
      </c>
      <c r="AR103" s="3" t="s">
        <v>867</v>
      </c>
      <c r="AS103" s="1" t="s">
        <v>83</v>
      </c>
      <c r="AT103" s="1" t="s">
        <v>84</v>
      </c>
    </row>
    <row r="104" spans="1:46" ht="19.899999999999999" customHeight="1" x14ac:dyDescent="0.25">
      <c r="A104" s="1" t="s">
        <v>857</v>
      </c>
      <c r="B104" s="1" t="s">
        <v>868</v>
      </c>
      <c r="C104" s="1" t="s">
        <v>48</v>
      </c>
      <c r="D104" s="1" t="s">
        <v>86</v>
      </c>
      <c r="E104" s="1" t="s">
        <v>87</v>
      </c>
      <c r="F104" s="1" t="s">
        <v>108</v>
      </c>
      <c r="G104" s="2">
        <v>9914</v>
      </c>
      <c r="H104" s="1" t="s">
        <v>869</v>
      </c>
      <c r="I104" s="1" t="s">
        <v>870</v>
      </c>
      <c r="J104" s="1" t="s">
        <v>871</v>
      </c>
      <c r="K104" s="1" t="s">
        <v>302</v>
      </c>
      <c r="L104" s="1" t="s">
        <v>55</v>
      </c>
      <c r="M104" s="1" t="s">
        <v>425</v>
      </c>
      <c r="N104" s="1" t="s">
        <v>872</v>
      </c>
      <c r="O104" s="1" t="s">
        <v>873</v>
      </c>
      <c r="P104" s="1" t="s">
        <v>246</v>
      </c>
      <c r="Q104" s="1" t="s">
        <v>428</v>
      </c>
      <c r="R104" s="1" t="s">
        <v>61</v>
      </c>
      <c r="S104" s="1" t="s">
        <v>863</v>
      </c>
      <c r="T104" t="str">
        <f t="shared" si="1"/>
        <v>ARC-smallbusiness@mail.nasa.gov</v>
      </c>
      <c r="U104" s="1" t="s">
        <v>119</v>
      </c>
      <c r="V104" s="1" t="s">
        <v>65</v>
      </c>
      <c r="W104" s="1" t="s">
        <v>66</v>
      </c>
      <c r="X104" s="1" t="s">
        <v>157</v>
      </c>
      <c r="Y104" s="1" t="s">
        <v>874</v>
      </c>
      <c r="Z104" s="1" t="s">
        <v>115</v>
      </c>
      <c r="AA104" s="1" t="s">
        <v>115</v>
      </c>
      <c r="AB104" s="1" t="s">
        <v>194</v>
      </c>
      <c r="AC104" s="1" t="s">
        <v>875</v>
      </c>
      <c r="AD104" s="3" t="s">
        <v>876</v>
      </c>
      <c r="AE104" s="1" t="s">
        <v>118</v>
      </c>
      <c r="AF104" s="1" t="s">
        <v>67</v>
      </c>
      <c r="AG104" s="1" t="s">
        <v>74</v>
      </c>
      <c r="AH104" s="1"/>
      <c r="AI104" s="1" t="s">
        <v>115</v>
      </c>
      <c r="AJ104" s="1" t="s">
        <v>64</v>
      </c>
      <c r="AK104" s="1" t="s">
        <v>76</v>
      </c>
      <c r="AL104" s="1" t="s">
        <v>295</v>
      </c>
      <c r="AM104" s="1" t="s">
        <v>115</v>
      </c>
      <c r="AN104" s="1" t="s">
        <v>105</v>
      </c>
      <c r="AO104" s="1" t="s">
        <v>79</v>
      </c>
      <c r="AP104" s="1" t="s">
        <v>120</v>
      </c>
      <c r="AQ104" s="1" t="s">
        <v>443</v>
      </c>
      <c r="AR104" s="3" t="s">
        <v>877</v>
      </c>
      <c r="AS104" s="1" t="s">
        <v>83</v>
      </c>
      <c r="AT104" s="1" t="s">
        <v>84</v>
      </c>
    </row>
    <row r="105" spans="1:46" ht="19.899999999999999" customHeight="1" x14ac:dyDescent="0.25">
      <c r="A105" s="1" t="s">
        <v>857</v>
      </c>
      <c r="B105" s="1" t="s">
        <v>868</v>
      </c>
      <c r="C105" s="1" t="s">
        <v>48</v>
      </c>
      <c r="D105" s="1" t="s">
        <v>86</v>
      </c>
      <c r="E105" s="1" t="s">
        <v>87</v>
      </c>
      <c r="F105" s="1" t="s">
        <v>108</v>
      </c>
      <c r="G105" s="2">
        <v>9920</v>
      </c>
      <c r="H105" s="1" t="s">
        <v>878</v>
      </c>
      <c r="I105" s="1" t="s">
        <v>879</v>
      </c>
      <c r="J105" s="1" t="s">
        <v>880</v>
      </c>
      <c r="K105" s="1" t="s">
        <v>302</v>
      </c>
      <c r="L105" s="1" t="s">
        <v>55</v>
      </c>
      <c r="M105" s="1" t="s">
        <v>56</v>
      </c>
      <c r="N105" s="1" t="s">
        <v>215</v>
      </c>
      <c r="O105" s="1" t="s">
        <v>216</v>
      </c>
      <c r="P105" s="1" t="s">
        <v>881</v>
      </c>
      <c r="Q105" s="1" t="s">
        <v>60</v>
      </c>
      <c r="R105" s="1" t="s">
        <v>61</v>
      </c>
      <c r="S105" s="1" t="s">
        <v>863</v>
      </c>
      <c r="T105" t="str">
        <f t="shared" si="1"/>
        <v>ARC-smallbusiness@mail.nasa.gov</v>
      </c>
      <c r="U105" s="1" t="s">
        <v>119</v>
      </c>
      <c r="V105" s="1" t="s">
        <v>95</v>
      </c>
      <c r="W105" s="1" t="s">
        <v>66</v>
      </c>
      <c r="X105" s="1" t="s">
        <v>67</v>
      </c>
      <c r="Y105" s="1" t="s">
        <v>864</v>
      </c>
      <c r="Z105" s="1" t="s">
        <v>115</v>
      </c>
      <c r="AA105" s="1" t="s">
        <v>70</v>
      </c>
      <c r="AB105" s="1" t="s">
        <v>100</v>
      </c>
      <c r="AC105" s="1" t="s">
        <v>496</v>
      </c>
      <c r="AD105" s="3" t="s">
        <v>882</v>
      </c>
      <c r="AE105" s="1" t="s">
        <v>118</v>
      </c>
      <c r="AF105" s="1" t="s">
        <v>67</v>
      </c>
      <c r="AG105" s="1" t="s">
        <v>74</v>
      </c>
      <c r="AH105" s="1"/>
      <c r="AI105" s="1" t="s">
        <v>65</v>
      </c>
      <c r="AJ105" s="1" t="s">
        <v>64</v>
      </c>
      <c r="AK105" s="1" t="s">
        <v>103</v>
      </c>
      <c r="AL105" s="1" t="s">
        <v>148</v>
      </c>
      <c r="AM105" s="1" t="s">
        <v>115</v>
      </c>
      <c r="AN105" s="1" t="s">
        <v>105</v>
      </c>
      <c r="AO105" s="1" t="s">
        <v>79</v>
      </c>
      <c r="AP105" s="1" t="s">
        <v>80</v>
      </c>
      <c r="AQ105" s="1" t="s">
        <v>103</v>
      </c>
      <c r="AR105" s="3" t="s">
        <v>883</v>
      </c>
      <c r="AS105" s="1" t="s">
        <v>83</v>
      </c>
      <c r="AT105" s="1" t="s">
        <v>84</v>
      </c>
    </row>
    <row r="106" spans="1:46" ht="19.899999999999999" customHeight="1" x14ac:dyDescent="0.25">
      <c r="A106" s="1" t="s">
        <v>857</v>
      </c>
      <c r="B106" s="1" t="s">
        <v>884</v>
      </c>
      <c r="C106" s="1" t="s">
        <v>48</v>
      </c>
      <c r="D106" s="1" t="s">
        <v>170</v>
      </c>
      <c r="E106" s="1" t="s">
        <v>170</v>
      </c>
      <c r="F106" s="1" t="s">
        <v>171</v>
      </c>
      <c r="G106" s="2">
        <v>9972</v>
      </c>
      <c r="H106" s="1" t="s">
        <v>885</v>
      </c>
      <c r="I106" s="1" t="s">
        <v>886</v>
      </c>
      <c r="J106" s="1" t="s">
        <v>887</v>
      </c>
      <c r="K106" s="1" t="s">
        <v>302</v>
      </c>
      <c r="L106" s="1" t="s">
        <v>55</v>
      </c>
      <c r="M106" s="1" t="s">
        <v>56</v>
      </c>
      <c r="N106" s="1" t="s">
        <v>888</v>
      </c>
      <c r="O106" s="1" t="s">
        <v>889</v>
      </c>
      <c r="P106" s="1" t="s">
        <v>305</v>
      </c>
      <c r="Q106" s="1" t="s">
        <v>60</v>
      </c>
      <c r="R106" s="1" t="s">
        <v>61</v>
      </c>
      <c r="S106" s="1" t="s">
        <v>863</v>
      </c>
      <c r="T106" t="str">
        <f t="shared" si="1"/>
        <v>ARC-smallbusiness@mail.nasa.gov</v>
      </c>
      <c r="U106" s="1" t="s">
        <v>119</v>
      </c>
      <c r="V106" s="1" t="s">
        <v>95</v>
      </c>
      <c r="W106" s="1" t="s">
        <v>66</v>
      </c>
      <c r="X106" s="1" t="s">
        <v>67</v>
      </c>
      <c r="Y106" s="1" t="s">
        <v>890</v>
      </c>
      <c r="Z106" s="1" t="s">
        <v>115</v>
      </c>
      <c r="AA106" s="1" t="s">
        <v>70</v>
      </c>
      <c r="AB106" s="1" t="s">
        <v>100</v>
      </c>
      <c r="AC106" s="1" t="s">
        <v>585</v>
      </c>
      <c r="AD106" s="3" t="s">
        <v>885</v>
      </c>
      <c r="AE106" s="1" t="s">
        <v>118</v>
      </c>
      <c r="AF106" s="1" t="s">
        <v>67</v>
      </c>
      <c r="AG106" s="1" t="s">
        <v>74</v>
      </c>
      <c r="AH106" s="1"/>
      <c r="AI106" s="1" t="s">
        <v>95</v>
      </c>
      <c r="AJ106" s="1" t="s">
        <v>94</v>
      </c>
      <c r="AK106" s="1" t="s">
        <v>76</v>
      </c>
      <c r="AL106" s="1" t="s">
        <v>148</v>
      </c>
      <c r="AM106" s="1" t="s">
        <v>115</v>
      </c>
      <c r="AN106" s="1" t="s">
        <v>115</v>
      </c>
      <c r="AO106" s="1" t="s">
        <v>79</v>
      </c>
      <c r="AP106" s="1" t="s">
        <v>80</v>
      </c>
      <c r="AQ106" s="1" t="s">
        <v>80</v>
      </c>
      <c r="AR106" s="3" t="s">
        <v>891</v>
      </c>
      <c r="AS106" s="1" t="s">
        <v>83</v>
      </c>
      <c r="AT106" s="1" t="s">
        <v>84</v>
      </c>
    </row>
    <row r="107" spans="1:46" ht="19.899999999999999" customHeight="1" x14ac:dyDescent="0.25">
      <c r="A107" s="1" t="s">
        <v>892</v>
      </c>
      <c r="B107" s="1" t="s">
        <v>893</v>
      </c>
      <c r="C107" s="1" t="s">
        <v>48</v>
      </c>
      <c r="D107" s="1" t="s">
        <v>86</v>
      </c>
      <c r="E107" s="1" t="s">
        <v>87</v>
      </c>
      <c r="F107" s="1" t="s">
        <v>108</v>
      </c>
      <c r="G107" s="2">
        <v>9981</v>
      </c>
      <c r="H107" s="1" t="s">
        <v>894</v>
      </c>
      <c r="I107" s="1" t="s">
        <v>895</v>
      </c>
      <c r="J107" s="1" t="s">
        <v>896</v>
      </c>
      <c r="K107" s="1" t="s">
        <v>153</v>
      </c>
      <c r="L107" s="1" t="s">
        <v>55</v>
      </c>
      <c r="M107" s="1" t="s">
        <v>139</v>
      </c>
      <c r="N107" s="1" t="s">
        <v>897</v>
      </c>
      <c r="O107" s="1" t="s">
        <v>898</v>
      </c>
      <c r="P107" s="1" t="s">
        <v>112</v>
      </c>
      <c r="Q107" s="1" t="s">
        <v>142</v>
      </c>
      <c r="R107" s="1" t="s">
        <v>61</v>
      </c>
      <c r="S107" s="1" t="s">
        <v>863</v>
      </c>
      <c r="T107" t="str">
        <f t="shared" si="1"/>
        <v>GRC-smallbusiness@mail.nasa.gov</v>
      </c>
      <c r="U107" s="1" t="s">
        <v>119</v>
      </c>
      <c r="V107" s="1" t="s">
        <v>115</v>
      </c>
      <c r="W107" s="1" t="s">
        <v>66</v>
      </c>
      <c r="X107" s="1" t="s">
        <v>67</v>
      </c>
      <c r="Y107" s="1" t="s">
        <v>68</v>
      </c>
      <c r="Z107" s="1" t="s">
        <v>899</v>
      </c>
      <c r="AA107" s="1" t="s">
        <v>130</v>
      </c>
      <c r="AB107" s="1" t="s">
        <v>146</v>
      </c>
      <c r="AC107" s="1" t="s">
        <v>167</v>
      </c>
      <c r="AD107" s="3"/>
      <c r="AE107" s="1" t="s">
        <v>144</v>
      </c>
      <c r="AF107" s="1" t="s">
        <v>144</v>
      </c>
      <c r="AG107" s="1" t="s">
        <v>74</v>
      </c>
      <c r="AH107" s="1"/>
      <c r="AI107" s="1" t="s">
        <v>114</v>
      </c>
      <c r="AJ107" s="1" t="s">
        <v>94</v>
      </c>
      <c r="AK107" s="1" t="s">
        <v>76</v>
      </c>
      <c r="AL107" s="1" t="s">
        <v>649</v>
      </c>
      <c r="AM107" s="1" t="s">
        <v>115</v>
      </c>
      <c r="AN107" s="1" t="s">
        <v>105</v>
      </c>
      <c r="AO107" s="1" t="s">
        <v>79</v>
      </c>
      <c r="AP107" s="1" t="s">
        <v>120</v>
      </c>
      <c r="AQ107" s="1" t="s">
        <v>443</v>
      </c>
      <c r="AR107" s="3" t="s">
        <v>900</v>
      </c>
      <c r="AS107" s="1" t="s">
        <v>83</v>
      </c>
      <c r="AT107" s="1" t="s">
        <v>84</v>
      </c>
    </row>
    <row r="108" spans="1:46" ht="19.899999999999999" customHeight="1" x14ac:dyDescent="0.25">
      <c r="A108" s="1" t="s">
        <v>892</v>
      </c>
      <c r="B108" s="1" t="s">
        <v>893</v>
      </c>
      <c r="C108" s="1" t="s">
        <v>48</v>
      </c>
      <c r="D108" s="1" t="s">
        <v>86</v>
      </c>
      <c r="E108" s="1" t="s">
        <v>87</v>
      </c>
      <c r="F108" s="1" t="s">
        <v>108</v>
      </c>
      <c r="G108" s="2">
        <v>10022</v>
      </c>
      <c r="H108" s="1" t="s">
        <v>901</v>
      </c>
      <c r="I108" s="1" t="s">
        <v>902</v>
      </c>
      <c r="J108" s="1" t="s">
        <v>903</v>
      </c>
      <c r="K108" s="1" t="s">
        <v>904</v>
      </c>
      <c r="L108" s="1" t="s">
        <v>55</v>
      </c>
      <c r="M108" s="1" t="s">
        <v>56</v>
      </c>
      <c r="N108" s="1" t="s">
        <v>57</v>
      </c>
      <c r="O108" s="1" t="s">
        <v>58</v>
      </c>
      <c r="P108" s="1" t="s">
        <v>246</v>
      </c>
      <c r="Q108" s="1" t="s">
        <v>60</v>
      </c>
      <c r="R108" s="1" t="s">
        <v>61</v>
      </c>
      <c r="S108" s="1" t="s">
        <v>863</v>
      </c>
      <c r="T108" t="str">
        <f t="shared" si="1"/>
        <v>GRC-smallbusiness@mail.nasa.gov</v>
      </c>
      <c r="U108" s="1" t="s">
        <v>119</v>
      </c>
      <c r="V108" s="1" t="s">
        <v>115</v>
      </c>
      <c r="W108" s="1" t="s">
        <v>66</v>
      </c>
      <c r="X108" s="1" t="s">
        <v>67</v>
      </c>
      <c r="Y108" s="1" t="s">
        <v>68</v>
      </c>
      <c r="Z108" s="1" t="s">
        <v>115</v>
      </c>
      <c r="AA108" s="1" t="s">
        <v>70</v>
      </c>
      <c r="AB108" s="1" t="s">
        <v>100</v>
      </c>
      <c r="AC108" s="1" t="s">
        <v>334</v>
      </c>
      <c r="AD108" s="3"/>
      <c r="AE108" s="1" t="s">
        <v>73</v>
      </c>
      <c r="AF108" s="1" t="s">
        <v>73</v>
      </c>
      <c r="AG108" s="1" t="s">
        <v>74</v>
      </c>
      <c r="AH108" s="1"/>
      <c r="AI108" s="1" t="s">
        <v>115</v>
      </c>
      <c r="AJ108" s="1" t="s">
        <v>94</v>
      </c>
      <c r="AK108" s="1" t="s">
        <v>76</v>
      </c>
      <c r="AL108" s="1" t="s">
        <v>295</v>
      </c>
      <c r="AM108" s="1" t="s">
        <v>115</v>
      </c>
      <c r="AN108" s="1" t="s">
        <v>78</v>
      </c>
      <c r="AO108" s="1" t="s">
        <v>79</v>
      </c>
      <c r="AP108" s="1" t="s">
        <v>80</v>
      </c>
      <c r="AQ108" s="1" t="s">
        <v>81</v>
      </c>
      <c r="AR108" s="3" t="s">
        <v>905</v>
      </c>
      <c r="AS108" s="1" t="s">
        <v>83</v>
      </c>
      <c r="AT108" s="1" t="s">
        <v>84</v>
      </c>
    </row>
    <row r="109" spans="1:46" ht="19.899999999999999" customHeight="1" x14ac:dyDescent="0.25">
      <c r="A109" s="1" t="s">
        <v>857</v>
      </c>
      <c r="B109" s="1" t="s">
        <v>868</v>
      </c>
      <c r="C109" s="1" t="s">
        <v>48</v>
      </c>
      <c r="D109" s="1" t="s">
        <v>86</v>
      </c>
      <c r="E109" s="1" t="s">
        <v>87</v>
      </c>
      <c r="F109" s="1" t="s">
        <v>108</v>
      </c>
      <c r="G109" s="2">
        <v>10039</v>
      </c>
      <c r="H109" s="1" t="s">
        <v>906</v>
      </c>
      <c r="I109" s="1" t="s">
        <v>907</v>
      </c>
      <c r="J109" s="1" t="s">
        <v>908</v>
      </c>
      <c r="K109" s="1" t="s">
        <v>302</v>
      </c>
      <c r="L109" s="1" t="s">
        <v>55</v>
      </c>
      <c r="M109" s="1" t="s">
        <v>816</v>
      </c>
      <c r="N109" s="1" t="s">
        <v>909</v>
      </c>
      <c r="O109" s="1" t="s">
        <v>910</v>
      </c>
      <c r="P109" s="1" t="s">
        <v>246</v>
      </c>
      <c r="Q109" s="1" t="s">
        <v>817</v>
      </c>
      <c r="R109" s="1" t="s">
        <v>61</v>
      </c>
      <c r="S109" s="1" t="s">
        <v>863</v>
      </c>
      <c r="T109" t="str">
        <f t="shared" si="1"/>
        <v>ARC-smallbusiness@mail.nasa.gov</v>
      </c>
      <c r="U109" s="1" t="s">
        <v>679</v>
      </c>
      <c r="V109" s="1" t="s">
        <v>114</v>
      </c>
      <c r="W109" s="1" t="s">
        <v>66</v>
      </c>
      <c r="X109" s="1" t="s">
        <v>343</v>
      </c>
      <c r="Y109" s="1" t="s">
        <v>911</v>
      </c>
      <c r="Z109" s="1" t="s">
        <v>912</v>
      </c>
      <c r="AA109" s="1" t="s">
        <v>130</v>
      </c>
      <c r="AB109" s="1" t="s">
        <v>87</v>
      </c>
      <c r="AC109" s="1" t="s">
        <v>913</v>
      </c>
      <c r="AD109" s="3" t="s">
        <v>914</v>
      </c>
      <c r="AE109" s="1"/>
      <c r="AF109" s="1"/>
      <c r="AG109" s="1" t="s">
        <v>74</v>
      </c>
      <c r="AH109" s="1"/>
      <c r="AI109" s="1" t="s">
        <v>65</v>
      </c>
      <c r="AJ109" s="1" t="s">
        <v>113</v>
      </c>
      <c r="AK109" s="1" t="s">
        <v>76</v>
      </c>
      <c r="AL109" s="1" t="s">
        <v>207</v>
      </c>
      <c r="AM109" s="1" t="s">
        <v>77</v>
      </c>
      <c r="AN109" s="1" t="s">
        <v>78</v>
      </c>
      <c r="AO109" s="1" t="s">
        <v>167</v>
      </c>
      <c r="AP109" s="1"/>
      <c r="AQ109" s="1"/>
      <c r="AR109" s="3" t="s">
        <v>915</v>
      </c>
      <c r="AS109" s="1" t="s">
        <v>83</v>
      </c>
      <c r="AT109" s="1" t="s">
        <v>84</v>
      </c>
    </row>
    <row r="110" spans="1:46" ht="19.899999999999999" customHeight="1" x14ac:dyDescent="0.25">
      <c r="A110" s="1" t="s">
        <v>857</v>
      </c>
      <c r="B110" s="1" t="s">
        <v>868</v>
      </c>
      <c r="C110" s="1" t="s">
        <v>48</v>
      </c>
      <c r="D110" s="1" t="s">
        <v>86</v>
      </c>
      <c r="E110" s="1" t="s">
        <v>87</v>
      </c>
      <c r="F110" s="1" t="s">
        <v>108</v>
      </c>
      <c r="G110" s="2">
        <v>10042</v>
      </c>
      <c r="H110" s="1" t="s">
        <v>916</v>
      </c>
      <c r="I110" s="1" t="s">
        <v>917</v>
      </c>
      <c r="J110" s="1" t="s">
        <v>918</v>
      </c>
      <c r="K110" s="1" t="s">
        <v>302</v>
      </c>
      <c r="L110" s="1" t="s">
        <v>55</v>
      </c>
      <c r="M110" s="1" t="s">
        <v>493</v>
      </c>
      <c r="N110" s="1" t="s">
        <v>710</v>
      </c>
      <c r="O110" s="1" t="s">
        <v>711</v>
      </c>
      <c r="P110" s="1" t="s">
        <v>217</v>
      </c>
      <c r="Q110" s="1" t="s">
        <v>494</v>
      </c>
      <c r="R110" s="1" t="s">
        <v>191</v>
      </c>
      <c r="S110" s="1" t="s">
        <v>863</v>
      </c>
      <c r="T110" t="str">
        <f t="shared" si="1"/>
        <v>ARC-smallbusiness@mail.nasa.gov</v>
      </c>
      <c r="U110" s="1" t="s">
        <v>113</v>
      </c>
      <c r="V110" s="1" t="s">
        <v>65</v>
      </c>
      <c r="W110" s="1" t="s">
        <v>66</v>
      </c>
      <c r="X110" s="1" t="s">
        <v>144</v>
      </c>
      <c r="Y110" s="1" t="s">
        <v>919</v>
      </c>
      <c r="Z110" s="1" t="s">
        <v>98</v>
      </c>
      <c r="AA110" s="1" t="s">
        <v>70</v>
      </c>
      <c r="AB110" s="1" t="s">
        <v>87</v>
      </c>
      <c r="AC110" s="1" t="s">
        <v>920</v>
      </c>
      <c r="AD110" s="3" t="s">
        <v>921</v>
      </c>
      <c r="AE110" s="1" t="s">
        <v>352</v>
      </c>
      <c r="AF110" s="1" t="s">
        <v>144</v>
      </c>
      <c r="AG110" s="1" t="s">
        <v>74</v>
      </c>
      <c r="AH110" s="1"/>
      <c r="AI110" s="1" t="s">
        <v>65</v>
      </c>
      <c r="AJ110" s="1" t="s">
        <v>119</v>
      </c>
      <c r="AK110" s="1" t="s">
        <v>76</v>
      </c>
      <c r="AL110" s="1" t="s">
        <v>68</v>
      </c>
      <c r="AM110" s="1" t="s">
        <v>115</v>
      </c>
      <c r="AN110" s="1" t="s">
        <v>105</v>
      </c>
      <c r="AO110" s="1" t="s">
        <v>79</v>
      </c>
      <c r="AP110" s="1" t="s">
        <v>80</v>
      </c>
      <c r="AQ110" s="1" t="s">
        <v>81</v>
      </c>
      <c r="AR110" s="3" t="s">
        <v>922</v>
      </c>
      <c r="AS110" s="1" t="s">
        <v>83</v>
      </c>
      <c r="AT110" s="1" t="s">
        <v>84</v>
      </c>
    </row>
    <row r="111" spans="1:46" ht="19.899999999999999" customHeight="1" x14ac:dyDescent="0.25">
      <c r="A111" s="1" t="s">
        <v>857</v>
      </c>
      <c r="B111" s="1" t="s">
        <v>868</v>
      </c>
      <c r="C111" s="1" t="s">
        <v>48</v>
      </c>
      <c r="D111" s="1" t="s">
        <v>86</v>
      </c>
      <c r="E111" s="1" t="s">
        <v>87</v>
      </c>
      <c r="F111" s="1" t="s">
        <v>108</v>
      </c>
      <c r="G111" s="2">
        <v>10044</v>
      </c>
      <c r="H111" s="1" t="s">
        <v>923</v>
      </c>
      <c r="I111" s="1" t="s">
        <v>924</v>
      </c>
      <c r="J111" s="1" t="s">
        <v>925</v>
      </c>
      <c r="K111" s="1" t="s">
        <v>302</v>
      </c>
      <c r="L111" s="1" t="s">
        <v>55</v>
      </c>
      <c r="M111" s="1" t="s">
        <v>56</v>
      </c>
      <c r="N111" s="1" t="s">
        <v>126</v>
      </c>
      <c r="O111" s="1" t="s">
        <v>127</v>
      </c>
      <c r="P111" s="1" t="s">
        <v>217</v>
      </c>
      <c r="Q111" s="1" t="s">
        <v>60</v>
      </c>
      <c r="R111" s="1" t="s">
        <v>61</v>
      </c>
      <c r="S111" s="1" t="s">
        <v>863</v>
      </c>
      <c r="T111" t="str">
        <f t="shared" si="1"/>
        <v>ARC-smallbusiness@mail.nasa.gov</v>
      </c>
      <c r="U111" s="1" t="s">
        <v>679</v>
      </c>
      <c r="V111" s="1" t="s">
        <v>95</v>
      </c>
      <c r="W111" s="1" t="s">
        <v>66</v>
      </c>
      <c r="X111" s="1" t="s">
        <v>118</v>
      </c>
      <c r="Y111" s="1" t="s">
        <v>864</v>
      </c>
      <c r="Z111" s="1" t="s">
        <v>115</v>
      </c>
      <c r="AA111" s="1" t="s">
        <v>115</v>
      </c>
      <c r="AB111" s="1" t="s">
        <v>100</v>
      </c>
      <c r="AC111" s="1" t="s">
        <v>680</v>
      </c>
      <c r="AD111" s="3" t="s">
        <v>926</v>
      </c>
      <c r="AE111" s="1"/>
      <c r="AF111" s="1"/>
      <c r="AG111" s="1" t="s">
        <v>74</v>
      </c>
      <c r="AH111" s="1"/>
      <c r="AI111" s="1" t="s">
        <v>65</v>
      </c>
      <c r="AJ111" s="1" t="s">
        <v>113</v>
      </c>
      <c r="AK111" s="1" t="s">
        <v>76</v>
      </c>
      <c r="AL111" s="1" t="s">
        <v>104</v>
      </c>
      <c r="AM111" s="1" t="s">
        <v>115</v>
      </c>
      <c r="AN111" s="1" t="s">
        <v>115</v>
      </c>
      <c r="AO111" s="1" t="s">
        <v>167</v>
      </c>
      <c r="AP111" s="1"/>
      <c r="AQ111" s="1"/>
      <c r="AR111" s="3" t="s">
        <v>927</v>
      </c>
      <c r="AS111" s="1" t="s">
        <v>83</v>
      </c>
      <c r="AT111" s="1" t="s">
        <v>84</v>
      </c>
    </row>
    <row r="112" spans="1:46" ht="19.899999999999999" customHeight="1" x14ac:dyDescent="0.25">
      <c r="A112" s="1" t="s">
        <v>857</v>
      </c>
      <c r="B112" s="1" t="s">
        <v>868</v>
      </c>
      <c r="C112" s="1" t="s">
        <v>48</v>
      </c>
      <c r="D112" s="1" t="s">
        <v>86</v>
      </c>
      <c r="E112" s="1" t="s">
        <v>87</v>
      </c>
      <c r="F112" s="1" t="s">
        <v>108</v>
      </c>
      <c r="G112" s="2">
        <v>10045</v>
      </c>
      <c r="H112" s="1" t="s">
        <v>928</v>
      </c>
      <c r="I112" s="1" t="s">
        <v>929</v>
      </c>
      <c r="J112" s="1" t="s">
        <v>930</v>
      </c>
      <c r="K112" s="1" t="s">
        <v>302</v>
      </c>
      <c r="L112" s="1" t="s">
        <v>55</v>
      </c>
      <c r="M112" s="1" t="s">
        <v>522</v>
      </c>
      <c r="N112" s="1" t="s">
        <v>91</v>
      </c>
      <c r="O112" s="1" t="s">
        <v>92</v>
      </c>
      <c r="P112" s="1" t="s">
        <v>217</v>
      </c>
      <c r="Q112" s="1" t="s">
        <v>525</v>
      </c>
      <c r="R112" s="1" t="s">
        <v>61</v>
      </c>
      <c r="S112" s="1" t="s">
        <v>863</v>
      </c>
      <c r="T112" t="str">
        <f t="shared" si="1"/>
        <v>ARC-smallbusiness@mail.nasa.gov</v>
      </c>
      <c r="U112" s="1" t="s">
        <v>679</v>
      </c>
      <c r="V112" s="1" t="s">
        <v>114</v>
      </c>
      <c r="W112" s="1" t="s">
        <v>66</v>
      </c>
      <c r="X112" s="1" t="s">
        <v>73</v>
      </c>
      <c r="Y112" s="1" t="s">
        <v>864</v>
      </c>
      <c r="Z112" s="1" t="s">
        <v>115</v>
      </c>
      <c r="AA112" s="1" t="s">
        <v>115</v>
      </c>
      <c r="AB112" s="1" t="s">
        <v>100</v>
      </c>
      <c r="AC112" s="1" t="s">
        <v>913</v>
      </c>
      <c r="AD112" s="3" t="s">
        <v>931</v>
      </c>
      <c r="AE112" s="1" t="s">
        <v>144</v>
      </c>
      <c r="AF112" s="1" t="s">
        <v>73</v>
      </c>
      <c r="AG112" s="1" t="s">
        <v>74</v>
      </c>
      <c r="AH112" s="1"/>
      <c r="AI112" s="1" t="s">
        <v>95</v>
      </c>
      <c r="AJ112" s="1" t="s">
        <v>113</v>
      </c>
      <c r="AK112" s="1" t="s">
        <v>76</v>
      </c>
      <c r="AL112" s="1" t="s">
        <v>68</v>
      </c>
      <c r="AM112" s="1" t="s">
        <v>115</v>
      </c>
      <c r="AN112" s="1" t="s">
        <v>115</v>
      </c>
      <c r="AO112" s="1" t="s">
        <v>79</v>
      </c>
      <c r="AP112" s="1" t="s">
        <v>120</v>
      </c>
      <c r="AQ112" s="1" t="s">
        <v>443</v>
      </c>
      <c r="AR112" s="3" t="s">
        <v>932</v>
      </c>
      <c r="AS112" s="1" t="s">
        <v>83</v>
      </c>
      <c r="AT112" s="1" t="s">
        <v>84</v>
      </c>
    </row>
    <row r="113" spans="1:46" ht="19.899999999999999" customHeight="1" x14ac:dyDescent="0.25">
      <c r="A113" s="1" t="s">
        <v>857</v>
      </c>
      <c r="B113" s="1" t="s">
        <v>933</v>
      </c>
      <c r="C113" s="1" t="s">
        <v>48</v>
      </c>
      <c r="D113" s="1" t="s">
        <v>170</v>
      </c>
      <c r="E113" s="1" t="s">
        <v>170</v>
      </c>
      <c r="F113" s="1" t="s">
        <v>171</v>
      </c>
      <c r="G113" s="2">
        <v>10049</v>
      </c>
      <c r="H113" s="1" t="s">
        <v>934</v>
      </c>
      <c r="I113" s="1" t="s">
        <v>935</v>
      </c>
      <c r="J113" s="1" t="s">
        <v>936</v>
      </c>
      <c r="K113" s="1" t="s">
        <v>302</v>
      </c>
      <c r="L113" s="1" t="s">
        <v>55</v>
      </c>
      <c r="M113" s="1" t="s">
        <v>56</v>
      </c>
      <c r="N113" s="1" t="s">
        <v>937</v>
      </c>
      <c r="O113" s="1" t="s">
        <v>938</v>
      </c>
      <c r="P113" s="1" t="s">
        <v>246</v>
      </c>
      <c r="Q113" s="1" t="s">
        <v>60</v>
      </c>
      <c r="R113" s="1" t="s">
        <v>61</v>
      </c>
      <c r="S113" s="1" t="s">
        <v>863</v>
      </c>
      <c r="T113" t="str">
        <f t="shared" si="1"/>
        <v>ARC-smallbusiness@mail.nasa.gov</v>
      </c>
      <c r="U113" s="1" t="s">
        <v>113</v>
      </c>
      <c r="V113" s="1" t="s">
        <v>65</v>
      </c>
      <c r="W113" s="1" t="s">
        <v>66</v>
      </c>
      <c r="X113" s="1" t="s">
        <v>67</v>
      </c>
      <c r="Y113" s="1" t="s">
        <v>864</v>
      </c>
      <c r="Z113" s="1" t="s">
        <v>115</v>
      </c>
      <c r="AA113" s="1" t="s">
        <v>70</v>
      </c>
      <c r="AB113" s="1" t="s">
        <v>100</v>
      </c>
      <c r="AC113" s="1" t="s">
        <v>913</v>
      </c>
      <c r="AD113" s="3" t="s">
        <v>939</v>
      </c>
      <c r="AE113" s="1" t="s">
        <v>73</v>
      </c>
      <c r="AF113" s="1" t="s">
        <v>73</v>
      </c>
      <c r="AG113" s="1" t="s">
        <v>74</v>
      </c>
      <c r="AH113" s="1" t="s">
        <v>940</v>
      </c>
      <c r="AI113" s="1" t="s">
        <v>115</v>
      </c>
      <c r="AJ113" s="1" t="s">
        <v>119</v>
      </c>
      <c r="AK113" s="1" t="s">
        <v>76</v>
      </c>
      <c r="AL113" s="1" t="s">
        <v>295</v>
      </c>
      <c r="AM113" s="1" t="s">
        <v>115</v>
      </c>
      <c r="AN113" s="1" t="s">
        <v>105</v>
      </c>
      <c r="AO113" s="1" t="s">
        <v>79</v>
      </c>
      <c r="AP113" s="1" t="s">
        <v>80</v>
      </c>
      <c r="AQ113" s="1" t="s">
        <v>81</v>
      </c>
      <c r="AR113" s="3" t="s">
        <v>941</v>
      </c>
      <c r="AS113" s="1" t="s">
        <v>83</v>
      </c>
      <c r="AT113" s="1" t="s">
        <v>84</v>
      </c>
    </row>
    <row r="114" spans="1:46" ht="19.899999999999999" customHeight="1" x14ac:dyDescent="0.25">
      <c r="A114" s="1" t="s">
        <v>857</v>
      </c>
      <c r="B114" s="1" t="s">
        <v>933</v>
      </c>
      <c r="C114" s="1" t="s">
        <v>48</v>
      </c>
      <c r="D114" s="1" t="s">
        <v>86</v>
      </c>
      <c r="E114" s="1" t="s">
        <v>87</v>
      </c>
      <c r="F114" s="1" t="s">
        <v>108</v>
      </c>
      <c r="G114" s="2">
        <v>10054</v>
      </c>
      <c r="H114" s="1" t="s">
        <v>942</v>
      </c>
      <c r="I114" s="1" t="s">
        <v>943</v>
      </c>
      <c r="J114" s="1" t="s">
        <v>944</v>
      </c>
      <c r="K114" s="1" t="s">
        <v>302</v>
      </c>
      <c r="L114" s="1" t="s">
        <v>55</v>
      </c>
      <c r="M114" s="1" t="s">
        <v>945</v>
      </c>
      <c r="N114" s="1" t="s">
        <v>710</v>
      </c>
      <c r="O114" s="1" t="s">
        <v>711</v>
      </c>
      <c r="P114" s="1" t="s">
        <v>946</v>
      </c>
      <c r="Q114" s="1" t="s">
        <v>947</v>
      </c>
      <c r="R114" s="1" t="s">
        <v>61</v>
      </c>
      <c r="S114" s="1" t="s">
        <v>863</v>
      </c>
      <c r="T114" t="str">
        <f t="shared" si="1"/>
        <v>ARC-smallbusiness@mail.nasa.gov</v>
      </c>
      <c r="U114" s="1" t="s">
        <v>679</v>
      </c>
      <c r="V114" s="1" t="s">
        <v>115</v>
      </c>
      <c r="W114" s="1" t="s">
        <v>66</v>
      </c>
      <c r="X114" s="1" t="s">
        <v>118</v>
      </c>
      <c r="Y114" s="1" t="s">
        <v>948</v>
      </c>
      <c r="Z114" s="1" t="s">
        <v>115</v>
      </c>
      <c r="AA114" s="1" t="s">
        <v>115</v>
      </c>
      <c r="AB114" s="1" t="s">
        <v>598</v>
      </c>
      <c r="AC114" s="1" t="s">
        <v>167</v>
      </c>
      <c r="AD114" s="3" t="s">
        <v>949</v>
      </c>
      <c r="AE114" s="1"/>
      <c r="AF114" s="1"/>
      <c r="AG114" s="1" t="s">
        <v>74</v>
      </c>
      <c r="AH114" s="1"/>
      <c r="AI114" s="1" t="s">
        <v>115</v>
      </c>
      <c r="AJ114" s="1" t="s">
        <v>113</v>
      </c>
      <c r="AK114" s="1" t="s">
        <v>76</v>
      </c>
      <c r="AL114" s="1" t="s">
        <v>68</v>
      </c>
      <c r="AM114" s="1" t="s">
        <v>115</v>
      </c>
      <c r="AN114" s="1" t="s">
        <v>115</v>
      </c>
      <c r="AO114" s="1" t="s">
        <v>167</v>
      </c>
      <c r="AP114" s="1"/>
      <c r="AQ114" s="1"/>
      <c r="AR114" s="3" t="s">
        <v>950</v>
      </c>
      <c r="AS114" s="1" t="s">
        <v>83</v>
      </c>
      <c r="AT114" s="1" t="s">
        <v>84</v>
      </c>
    </row>
    <row r="115" spans="1:46" ht="19.899999999999999" customHeight="1" x14ac:dyDescent="0.25">
      <c r="A115" s="1" t="s">
        <v>857</v>
      </c>
      <c r="B115" s="1" t="s">
        <v>933</v>
      </c>
      <c r="C115" s="1" t="s">
        <v>48</v>
      </c>
      <c r="D115" s="1" t="s">
        <v>86</v>
      </c>
      <c r="E115" s="1" t="s">
        <v>87</v>
      </c>
      <c r="F115" s="1" t="s">
        <v>108</v>
      </c>
      <c r="G115" s="2">
        <v>10057</v>
      </c>
      <c r="H115" s="1" t="s">
        <v>951</v>
      </c>
      <c r="I115" s="1" t="s">
        <v>952</v>
      </c>
      <c r="J115" s="1" t="s">
        <v>953</v>
      </c>
      <c r="K115" s="1" t="s">
        <v>302</v>
      </c>
      <c r="L115" s="1" t="s">
        <v>55</v>
      </c>
      <c r="M115" s="1" t="s">
        <v>413</v>
      </c>
      <c r="N115" s="1" t="s">
        <v>414</v>
      </c>
      <c r="O115" s="1" t="s">
        <v>415</v>
      </c>
      <c r="P115" s="1" t="s">
        <v>112</v>
      </c>
      <c r="Q115" s="1" t="s">
        <v>416</v>
      </c>
      <c r="R115" s="1" t="s">
        <v>61</v>
      </c>
      <c r="S115" s="1" t="s">
        <v>863</v>
      </c>
      <c r="T115" t="str">
        <f t="shared" si="1"/>
        <v>ARC-smallbusiness@mail.nasa.gov</v>
      </c>
      <c r="U115" s="1" t="s">
        <v>113</v>
      </c>
      <c r="V115" s="1" t="s">
        <v>95</v>
      </c>
      <c r="W115" s="1" t="s">
        <v>66</v>
      </c>
      <c r="X115" s="1" t="s">
        <v>352</v>
      </c>
      <c r="Y115" s="1" t="s">
        <v>890</v>
      </c>
      <c r="Z115" s="1" t="s">
        <v>115</v>
      </c>
      <c r="AA115" s="1" t="s">
        <v>115</v>
      </c>
      <c r="AB115" s="1" t="s">
        <v>418</v>
      </c>
      <c r="AC115" s="1" t="s">
        <v>954</v>
      </c>
      <c r="AD115" s="3" t="s">
        <v>955</v>
      </c>
      <c r="AE115" s="1" t="s">
        <v>228</v>
      </c>
      <c r="AF115" s="1" t="s">
        <v>228</v>
      </c>
      <c r="AG115" s="1" t="s">
        <v>74</v>
      </c>
      <c r="AH115" s="1"/>
      <c r="AI115" s="1" t="s">
        <v>115</v>
      </c>
      <c r="AJ115" s="1" t="s">
        <v>119</v>
      </c>
      <c r="AK115" s="1" t="s">
        <v>76</v>
      </c>
      <c r="AL115" s="1" t="s">
        <v>295</v>
      </c>
      <c r="AM115" s="1" t="s">
        <v>115</v>
      </c>
      <c r="AN115" s="1" t="s">
        <v>105</v>
      </c>
      <c r="AO115" s="1" t="s">
        <v>79</v>
      </c>
      <c r="AP115" s="1" t="s">
        <v>120</v>
      </c>
      <c r="AQ115" s="1" t="s">
        <v>443</v>
      </c>
      <c r="AR115" s="3" t="s">
        <v>956</v>
      </c>
      <c r="AS115" s="1" t="s">
        <v>83</v>
      </c>
      <c r="AT115" s="1" t="s">
        <v>84</v>
      </c>
    </row>
    <row r="116" spans="1:46" ht="19.899999999999999" customHeight="1" x14ac:dyDescent="0.25">
      <c r="A116" s="1" t="s">
        <v>857</v>
      </c>
      <c r="B116" s="1" t="s">
        <v>933</v>
      </c>
      <c r="C116" s="1" t="s">
        <v>48</v>
      </c>
      <c r="D116" s="1" t="s">
        <v>86</v>
      </c>
      <c r="E116" s="1" t="s">
        <v>87</v>
      </c>
      <c r="F116" s="1" t="s">
        <v>108</v>
      </c>
      <c r="G116" s="2">
        <v>10065</v>
      </c>
      <c r="H116" s="1" t="s">
        <v>957</v>
      </c>
      <c r="I116" s="1" t="s">
        <v>958</v>
      </c>
      <c r="J116" s="1" t="s">
        <v>959</v>
      </c>
      <c r="K116" s="1" t="s">
        <v>302</v>
      </c>
      <c r="L116" s="1" t="s">
        <v>55</v>
      </c>
      <c r="M116" s="1" t="s">
        <v>56</v>
      </c>
      <c r="N116" s="1" t="s">
        <v>303</v>
      </c>
      <c r="O116" s="1" t="s">
        <v>304</v>
      </c>
      <c r="P116" s="1" t="s">
        <v>217</v>
      </c>
      <c r="Q116" s="1" t="s">
        <v>60</v>
      </c>
      <c r="R116" s="1" t="s">
        <v>115</v>
      </c>
      <c r="S116" s="1" t="s">
        <v>863</v>
      </c>
      <c r="T116" t="str">
        <f t="shared" si="1"/>
        <v>ARC-smallbusiness@mail.nasa.gov</v>
      </c>
      <c r="U116" s="1" t="s">
        <v>113</v>
      </c>
      <c r="V116" s="1" t="s">
        <v>143</v>
      </c>
      <c r="W116" s="1" t="s">
        <v>66</v>
      </c>
      <c r="X116" s="1" t="s">
        <v>73</v>
      </c>
      <c r="Y116" s="1" t="s">
        <v>960</v>
      </c>
      <c r="Z116" s="1" t="s">
        <v>115</v>
      </c>
      <c r="AA116" s="1" t="s">
        <v>115</v>
      </c>
      <c r="AB116" s="1" t="s">
        <v>87</v>
      </c>
      <c r="AC116" s="1" t="s">
        <v>703</v>
      </c>
      <c r="AD116" s="3" t="s">
        <v>961</v>
      </c>
      <c r="AE116" s="1" t="s">
        <v>144</v>
      </c>
      <c r="AF116" s="1" t="s">
        <v>73</v>
      </c>
      <c r="AG116" s="1" t="s">
        <v>74</v>
      </c>
      <c r="AH116" s="1"/>
      <c r="AI116" s="1" t="s">
        <v>115</v>
      </c>
      <c r="AJ116" s="1" t="s">
        <v>113</v>
      </c>
      <c r="AK116" s="1" t="s">
        <v>76</v>
      </c>
      <c r="AL116" s="1" t="s">
        <v>68</v>
      </c>
      <c r="AM116" s="1" t="s">
        <v>133</v>
      </c>
      <c r="AN116" s="1" t="s">
        <v>115</v>
      </c>
      <c r="AO116" s="1" t="s">
        <v>79</v>
      </c>
      <c r="AP116" s="1" t="s">
        <v>80</v>
      </c>
      <c r="AQ116" s="1" t="s">
        <v>81</v>
      </c>
      <c r="AR116" s="3" t="s">
        <v>962</v>
      </c>
      <c r="AS116" s="1" t="s">
        <v>83</v>
      </c>
      <c r="AT116" s="1" t="s">
        <v>84</v>
      </c>
    </row>
    <row r="117" spans="1:46" ht="19.899999999999999" customHeight="1" x14ac:dyDescent="0.25">
      <c r="A117" s="1" t="s">
        <v>892</v>
      </c>
      <c r="B117" s="1"/>
      <c r="C117" s="1" t="s">
        <v>48</v>
      </c>
      <c r="D117" s="1" t="s">
        <v>86</v>
      </c>
      <c r="E117" s="1" t="s">
        <v>87</v>
      </c>
      <c r="F117" s="1" t="s">
        <v>108</v>
      </c>
      <c r="G117" s="2">
        <v>10134</v>
      </c>
      <c r="H117" s="1" t="s">
        <v>963</v>
      </c>
      <c r="I117" s="1" t="s">
        <v>964</v>
      </c>
      <c r="J117" s="1"/>
      <c r="K117" s="1" t="s">
        <v>115</v>
      </c>
      <c r="L117" s="1" t="s">
        <v>55</v>
      </c>
      <c r="M117" s="1" t="s">
        <v>56</v>
      </c>
      <c r="N117" s="1" t="s">
        <v>126</v>
      </c>
      <c r="O117" s="1" t="s">
        <v>127</v>
      </c>
      <c r="P117" s="1" t="s">
        <v>128</v>
      </c>
      <c r="Q117" s="1" t="s">
        <v>60</v>
      </c>
      <c r="R117" s="1" t="s">
        <v>61</v>
      </c>
      <c r="S117" s="1" t="s">
        <v>863</v>
      </c>
      <c r="T117" t="str">
        <f t="shared" si="1"/>
        <v>GRC-smallbusiness@mail.nasa.gov</v>
      </c>
      <c r="U117" s="1" t="s">
        <v>64</v>
      </c>
      <c r="V117" s="1" t="s">
        <v>115</v>
      </c>
      <c r="W117" s="1" t="s">
        <v>129</v>
      </c>
      <c r="X117" s="1" t="s">
        <v>409</v>
      </c>
      <c r="Y117" s="1"/>
      <c r="Z117" s="1" t="s">
        <v>115</v>
      </c>
      <c r="AA117" s="1" t="s">
        <v>115</v>
      </c>
      <c r="AB117" s="1" t="s">
        <v>87</v>
      </c>
      <c r="AC117" s="1" t="s">
        <v>167</v>
      </c>
      <c r="AD117" s="3" t="s">
        <v>965</v>
      </c>
      <c r="AE117" s="1"/>
      <c r="AF117" s="1"/>
      <c r="AG117" s="1" t="s">
        <v>74</v>
      </c>
      <c r="AH117" s="1"/>
      <c r="AI117" s="1" t="s">
        <v>115</v>
      </c>
      <c r="AJ117" s="1" t="s">
        <v>64</v>
      </c>
      <c r="AK117" s="1" t="s">
        <v>120</v>
      </c>
      <c r="AL117" s="1" t="s">
        <v>68</v>
      </c>
      <c r="AM117" s="1" t="s">
        <v>115</v>
      </c>
      <c r="AN117" s="1" t="s">
        <v>115</v>
      </c>
      <c r="AO117" s="1" t="s">
        <v>167</v>
      </c>
      <c r="AP117" s="1"/>
      <c r="AQ117" s="1"/>
      <c r="AR117" s="3" t="s">
        <v>966</v>
      </c>
      <c r="AS117" s="1" t="s">
        <v>83</v>
      </c>
      <c r="AT117" s="1" t="s">
        <v>84</v>
      </c>
    </row>
    <row r="118" spans="1:46" ht="19.899999999999999" customHeight="1" x14ac:dyDescent="0.25">
      <c r="A118" s="1" t="s">
        <v>892</v>
      </c>
      <c r="B118" s="1"/>
      <c r="C118" s="1" t="s">
        <v>48</v>
      </c>
      <c r="D118" s="1" t="s">
        <v>86</v>
      </c>
      <c r="E118" s="1" t="s">
        <v>87</v>
      </c>
      <c r="F118" s="1" t="s">
        <v>108</v>
      </c>
      <c r="G118" s="2">
        <v>10158</v>
      </c>
      <c r="H118" s="1" t="s">
        <v>967</v>
      </c>
      <c r="I118" s="1" t="s">
        <v>968</v>
      </c>
      <c r="J118" s="1"/>
      <c r="K118" s="1" t="s">
        <v>153</v>
      </c>
      <c r="L118" s="1" t="s">
        <v>55</v>
      </c>
      <c r="M118" s="1" t="s">
        <v>56</v>
      </c>
      <c r="N118" s="1" t="s">
        <v>215</v>
      </c>
      <c r="O118" s="1" t="s">
        <v>216</v>
      </c>
      <c r="P118" s="1" t="s">
        <v>217</v>
      </c>
      <c r="Q118" s="1" t="s">
        <v>60</v>
      </c>
      <c r="R118" s="1" t="s">
        <v>61</v>
      </c>
      <c r="S118" s="1" t="s">
        <v>863</v>
      </c>
      <c r="T118" t="str">
        <f t="shared" si="1"/>
        <v>GRC-smallbusiness@mail.nasa.gov</v>
      </c>
      <c r="U118" s="1" t="s">
        <v>94</v>
      </c>
      <c r="V118" s="1" t="s">
        <v>114</v>
      </c>
      <c r="W118" s="1" t="s">
        <v>129</v>
      </c>
      <c r="X118" s="1" t="s">
        <v>228</v>
      </c>
      <c r="Y118" s="1"/>
      <c r="Z118" s="1" t="s">
        <v>98</v>
      </c>
      <c r="AA118" s="1" t="s">
        <v>70</v>
      </c>
      <c r="AB118" s="1" t="s">
        <v>100</v>
      </c>
      <c r="AC118" s="1" t="s">
        <v>101</v>
      </c>
      <c r="AD118" s="3"/>
      <c r="AE118" s="1"/>
      <c r="AF118" s="1"/>
      <c r="AG118" s="1" t="s">
        <v>74</v>
      </c>
      <c r="AH118" s="1"/>
      <c r="AI118" s="1" t="s">
        <v>65</v>
      </c>
      <c r="AJ118" s="1" t="s">
        <v>64</v>
      </c>
      <c r="AK118" s="1" t="s">
        <v>120</v>
      </c>
      <c r="AL118" s="1" t="s">
        <v>295</v>
      </c>
      <c r="AM118" s="1"/>
      <c r="AN118" s="1" t="s">
        <v>105</v>
      </c>
      <c r="AO118" s="1" t="s">
        <v>74</v>
      </c>
      <c r="AP118" s="1"/>
      <c r="AQ118" s="1"/>
      <c r="AR118" s="3" t="s">
        <v>969</v>
      </c>
      <c r="AS118" s="1" t="s">
        <v>83</v>
      </c>
      <c r="AT118" s="1" t="s">
        <v>84</v>
      </c>
    </row>
    <row r="119" spans="1:46" ht="19.899999999999999" customHeight="1" x14ac:dyDescent="0.25">
      <c r="A119" s="1" t="s">
        <v>892</v>
      </c>
      <c r="B119" s="1"/>
      <c r="C119" s="1" t="s">
        <v>48</v>
      </c>
      <c r="D119" s="1" t="s">
        <v>86</v>
      </c>
      <c r="E119" s="1" t="s">
        <v>87</v>
      </c>
      <c r="F119" s="1" t="s">
        <v>108</v>
      </c>
      <c r="G119" s="2">
        <v>10159</v>
      </c>
      <c r="H119" s="1" t="s">
        <v>970</v>
      </c>
      <c r="I119" s="1" t="s">
        <v>971</v>
      </c>
      <c r="J119" s="1"/>
      <c r="K119" s="1" t="s">
        <v>153</v>
      </c>
      <c r="L119" s="1" t="s">
        <v>55</v>
      </c>
      <c r="M119" s="1" t="s">
        <v>56</v>
      </c>
      <c r="N119" s="1" t="s">
        <v>215</v>
      </c>
      <c r="O119" s="1" t="s">
        <v>216</v>
      </c>
      <c r="P119" s="1" t="s">
        <v>217</v>
      </c>
      <c r="Q119" s="1" t="s">
        <v>60</v>
      </c>
      <c r="R119" s="1" t="s">
        <v>61</v>
      </c>
      <c r="S119" s="1" t="s">
        <v>863</v>
      </c>
      <c r="T119" t="str">
        <f t="shared" si="1"/>
        <v>GRC-smallbusiness@mail.nasa.gov</v>
      </c>
      <c r="U119" s="1" t="s">
        <v>94</v>
      </c>
      <c r="V119" s="1" t="s">
        <v>115</v>
      </c>
      <c r="W119" s="1" t="s">
        <v>129</v>
      </c>
      <c r="X119" s="1" t="s">
        <v>352</v>
      </c>
      <c r="Y119" s="1"/>
      <c r="Z119" s="1" t="s">
        <v>98</v>
      </c>
      <c r="AA119" s="1" t="s">
        <v>972</v>
      </c>
      <c r="AB119" s="1" t="s">
        <v>100</v>
      </c>
      <c r="AC119" s="1" t="s">
        <v>167</v>
      </c>
      <c r="AD119" s="3"/>
      <c r="AE119" s="1"/>
      <c r="AF119" s="1"/>
      <c r="AG119" s="1" t="s">
        <v>74</v>
      </c>
      <c r="AH119" s="1"/>
      <c r="AI119" s="1" t="s">
        <v>115</v>
      </c>
      <c r="AJ119" s="1" t="s">
        <v>64</v>
      </c>
      <c r="AK119" s="1" t="s">
        <v>80</v>
      </c>
      <c r="AL119" s="1" t="s">
        <v>295</v>
      </c>
      <c r="AM119" s="1"/>
      <c r="AN119" s="1" t="s">
        <v>105</v>
      </c>
      <c r="AO119" s="1" t="s">
        <v>167</v>
      </c>
      <c r="AP119" s="1"/>
      <c r="AQ119" s="1"/>
      <c r="AR119" s="3" t="s">
        <v>973</v>
      </c>
      <c r="AS119" s="1" t="s">
        <v>83</v>
      </c>
      <c r="AT119" s="1" t="s">
        <v>84</v>
      </c>
    </row>
    <row r="120" spans="1:46" ht="19.899999999999999" customHeight="1" x14ac:dyDescent="0.25">
      <c r="A120" s="1" t="s">
        <v>857</v>
      </c>
      <c r="B120" s="1" t="s">
        <v>868</v>
      </c>
      <c r="C120" s="1" t="s">
        <v>48</v>
      </c>
      <c r="D120" s="1" t="s">
        <v>86</v>
      </c>
      <c r="E120" s="1" t="s">
        <v>87</v>
      </c>
      <c r="F120" s="1" t="s">
        <v>108</v>
      </c>
      <c r="G120" s="2">
        <v>10165</v>
      </c>
      <c r="H120" s="1" t="s">
        <v>974</v>
      </c>
      <c r="I120" s="1" t="s">
        <v>975</v>
      </c>
      <c r="J120" s="1"/>
      <c r="K120" s="1" t="s">
        <v>302</v>
      </c>
      <c r="L120" s="1" t="s">
        <v>55</v>
      </c>
      <c r="M120" s="1" t="s">
        <v>976</v>
      </c>
      <c r="N120" s="1" t="s">
        <v>977</v>
      </c>
      <c r="O120" s="1" t="s">
        <v>978</v>
      </c>
      <c r="P120" s="1" t="s">
        <v>246</v>
      </c>
      <c r="Q120" s="1" t="s">
        <v>979</v>
      </c>
      <c r="R120" s="1" t="s">
        <v>61</v>
      </c>
      <c r="S120" s="1" t="s">
        <v>863</v>
      </c>
      <c r="T120" t="str">
        <f t="shared" si="1"/>
        <v>ARC-smallbusiness@mail.nasa.gov</v>
      </c>
      <c r="U120" s="1" t="s">
        <v>64</v>
      </c>
      <c r="V120" s="1" t="s">
        <v>143</v>
      </c>
      <c r="W120" s="1" t="s">
        <v>129</v>
      </c>
      <c r="X120" s="1" t="s">
        <v>366</v>
      </c>
      <c r="Y120" s="1" t="s">
        <v>864</v>
      </c>
      <c r="Z120" s="1" t="s">
        <v>115</v>
      </c>
      <c r="AA120" s="1" t="s">
        <v>130</v>
      </c>
      <c r="AB120" s="1" t="s">
        <v>87</v>
      </c>
      <c r="AC120" s="1" t="s">
        <v>230</v>
      </c>
      <c r="AD120" s="3" t="s">
        <v>980</v>
      </c>
      <c r="AE120" s="1"/>
      <c r="AF120" s="1"/>
      <c r="AG120" s="1" t="s">
        <v>74</v>
      </c>
      <c r="AH120" s="1"/>
      <c r="AI120" s="1" t="s">
        <v>143</v>
      </c>
      <c r="AJ120" s="1" t="s">
        <v>64</v>
      </c>
      <c r="AK120" s="1" t="s">
        <v>345</v>
      </c>
      <c r="AL120" s="1" t="s">
        <v>346</v>
      </c>
      <c r="AM120" s="1" t="s">
        <v>115</v>
      </c>
      <c r="AN120" s="1" t="s">
        <v>78</v>
      </c>
      <c r="AO120" s="1" t="s">
        <v>167</v>
      </c>
      <c r="AP120" s="1"/>
      <c r="AQ120" s="1"/>
      <c r="AR120" s="3" t="s">
        <v>981</v>
      </c>
      <c r="AS120" s="1" t="s">
        <v>83</v>
      </c>
      <c r="AT120" s="1" t="s">
        <v>84</v>
      </c>
    </row>
    <row r="121" spans="1:46" ht="19.899999999999999" customHeight="1" x14ac:dyDescent="0.25">
      <c r="A121" s="1" t="s">
        <v>892</v>
      </c>
      <c r="B121" s="1" t="s">
        <v>982</v>
      </c>
      <c r="C121" s="1" t="s">
        <v>48</v>
      </c>
      <c r="D121" s="1" t="s">
        <v>86</v>
      </c>
      <c r="E121" s="1" t="s">
        <v>87</v>
      </c>
      <c r="F121" s="1" t="s">
        <v>108</v>
      </c>
      <c r="G121" s="2">
        <v>10168</v>
      </c>
      <c r="H121" s="1" t="s">
        <v>983</v>
      </c>
      <c r="I121" s="1" t="s">
        <v>984</v>
      </c>
      <c r="J121" s="1"/>
      <c r="K121" s="1" t="s">
        <v>115</v>
      </c>
      <c r="L121" s="1" t="s">
        <v>55</v>
      </c>
      <c r="M121" s="1" t="s">
        <v>56</v>
      </c>
      <c r="N121" s="1" t="s">
        <v>215</v>
      </c>
      <c r="O121" s="1" t="s">
        <v>216</v>
      </c>
      <c r="P121" s="1" t="s">
        <v>305</v>
      </c>
      <c r="Q121" s="1" t="s">
        <v>60</v>
      </c>
      <c r="R121" s="1" t="s">
        <v>61</v>
      </c>
      <c r="S121" s="1" t="s">
        <v>863</v>
      </c>
      <c r="T121" t="str">
        <f t="shared" si="1"/>
        <v>GRC-smallbusiness@mail.nasa.gov</v>
      </c>
      <c r="U121" s="1" t="s">
        <v>94</v>
      </c>
      <c r="V121" s="1" t="s">
        <v>114</v>
      </c>
      <c r="W121" s="1" t="s">
        <v>129</v>
      </c>
      <c r="X121" s="1" t="s">
        <v>144</v>
      </c>
      <c r="Y121" s="1" t="s">
        <v>68</v>
      </c>
      <c r="Z121" s="1" t="s">
        <v>115</v>
      </c>
      <c r="AA121" s="1" t="s">
        <v>130</v>
      </c>
      <c r="AB121" s="1" t="s">
        <v>100</v>
      </c>
      <c r="AC121" s="1" t="s">
        <v>131</v>
      </c>
      <c r="AD121" s="3" t="s">
        <v>985</v>
      </c>
      <c r="AE121" s="1"/>
      <c r="AF121" s="1"/>
      <c r="AG121" s="1" t="s">
        <v>74</v>
      </c>
      <c r="AH121" s="1"/>
      <c r="AI121" s="1" t="s">
        <v>143</v>
      </c>
      <c r="AJ121" s="1" t="s">
        <v>64</v>
      </c>
      <c r="AK121" s="1" t="s">
        <v>80</v>
      </c>
      <c r="AL121" s="1" t="s">
        <v>295</v>
      </c>
      <c r="AM121" s="1" t="s">
        <v>133</v>
      </c>
      <c r="AN121" s="1" t="s">
        <v>105</v>
      </c>
      <c r="AO121" s="1" t="s">
        <v>167</v>
      </c>
      <c r="AP121" s="1"/>
      <c r="AQ121" s="1"/>
      <c r="AR121" s="3" t="s">
        <v>986</v>
      </c>
      <c r="AS121" s="1" t="s">
        <v>83</v>
      </c>
      <c r="AT121" s="1" t="s">
        <v>84</v>
      </c>
    </row>
    <row r="122" spans="1:46" ht="19.899999999999999" customHeight="1" x14ac:dyDescent="0.25">
      <c r="A122" s="1" t="s">
        <v>892</v>
      </c>
      <c r="B122" s="1"/>
      <c r="C122" s="1" t="s">
        <v>48</v>
      </c>
      <c r="D122" s="1" t="s">
        <v>86</v>
      </c>
      <c r="E122" s="1" t="s">
        <v>87</v>
      </c>
      <c r="F122" s="1" t="s">
        <v>108</v>
      </c>
      <c r="G122" s="2">
        <v>10174</v>
      </c>
      <c r="H122" s="1" t="s">
        <v>987</v>
      </c>
      <c r="I122" s="1" t="s">
        <v>988</v>
      </c>
      <c r="J122" s="1"/>
      <c r="K122" s="1" t="s">
        <v>904</v>
      </c>
      <c r="L122" s="1" t="s">
        <v>55</v>
      </c>
      <c r="M122" s="1" t="s">
        <v>989</v>
      </c>
      <c r="N122" s="1" t="s">
        <v>990</v>
      </c>
      <c r="O122" s="1" t="s">
        <v>991</v>
      </c>
      <c r="P122" s="1" t="s">
        <v>112</v>
      </c>
      <c r="Q122" s="1" t="s">
        <v>992</v>
      </c>
      <c r="R122" s="1" t="s">
        <v>61</v>
      </c>
      <c r="S122" s="1" t="s">
        <v>863</v>
      </c>
      <c r="T122" t="str">
        <f t="shared" si="1"/>
        <v>GRC-smallbusiness@mail.nasa.gov</v>
      </c>
      <c r="U122" s="1" t="s">
        <v>94</v>
      </c>
      <c r="V122" s="1" t="s">
        <v>95</v>
      </c>
      <c r="W122" s="1" t="s">
        <v>129</v>
      </c>
      <c r="X122" s="1" t="s">
        <v>352</v>
      </c>
      <c r="Y122" s="1" t="s">
        <v>993</v>
      </c>
      <c r="Z122" s="1" t="s">
        <v>115</v>
      </c>
      <c r="AA122" s="1" t="s">
        <v>115</v>
      </c>
      <c r="AB122" s="1" t="s">
        <v>994</v>
      </c>
      <c r="AC122" s="1" t="s">
        <v>101</v>
      </c>
      <c r="AD122" s="3" t="s">
        <v>995</v>
      </c>
      <c r="AE122" s="1" t="s">
        <v>228</v>
      </c>
      <c r="AF122" s="1" t="s">
        <v>228</v>
      </c>
      <c r="AG122" s="1" t="s">
        <v>74</v>
      </c>
      <c r="AH122" s="1"/>
      <c r="AI122" s="1" t="s">
        <v>115</v>
      </c>
      <c r="AJ122" s="1" t="s">
        <v>64</v>
      </c>
      <c r="AK122" s="1" t="s">
        <v>76</v>
      </c>
      <c r="AL122" s="1" t="s">
        <v>207</v>
      </c>
      <c r="AM122" s="1" t="s">
        <v>77</v>
      </c>
      <c r="AN122" s="1" t="s">
        <v>105</v>
      </c>
      <c r="AO122" s="1" t="s">
        <v>167</v>
      </c>
      <c r="AP122" s="1" t="s">
        <v>80</v>
      </c>
      <c r="AQ122" s="1" t="s">
        <v>81</v>
      </c>
      <c r="AR122" s="3" t="s">
        <v>996</v>
      </c>
      <c r="AS122" s="1" t="s">
        <v>83</v>
      </c>
      <c r="AT122" s="1" t="s">
        <v>84</v>
      </c>
    </row>
    <row r="123" spans="1:46" ht="19.899999999999999" customHeight="1" x14ac:dyDescent="0.25">
      <c r="A123" s="1" t="s">
        <v>857</v>
      </c>
      <c r="B123" s="1" t="s">
        <v>868</v>
      </c>
      <c r="C123" s="1" t="s">
        <v>48</v>
      </c>
      <c r="D123" s="1" t="s">
        <v>298</v>
      </c>
      <c r="E123" s="1" t="s">
        <v>87</v>
      </c>
      <c r="F123" s="1" t="s">
        <v>108</v>
      </c>
      <c r="G123" s="2">
        <v>10184</v>
      </c>
      <c r="H123" s="1" t="s">
        <v>997</v>
      </c>
      <c r="I123" s="1" t="s">
        <v>998</v>
      </c>
      <c r="J123" s="1"/>
      <c r="K123" s="1" t="s">
        <v>153</v>
      </c>
      <c r="L123" s="1" t="s">
        <v>55</v>
      </c>
      <c r="M123" s="1" t="s">
        <v>999</v>
      </c>
      <c r="N123" s="1" t="s">
        <v>1000</v>
      </c>
      <c r="O123" s="1" t="s">
        <v>1001</v>
      </c>
      <c r="P123" s="1" t="s">
        <v>217</v>
      </c>
      <c r="Q123" s="1" t="s">
        <v>1002</v>
      </c>
      <c r="R123" s="1" t="s">
        <v>61</v>
      </c>
      <c r="S123" s="1" t="s">
        <v>863</v>
      </c>
      <c r="T123" t="str">
        <f t="shared" si="1"/>
        <v>ARC-smallbusiness@mail.nasa.gov</v>
      </c>
      <c r="U123" s="1" t="s">
        <v>94</v>
      </c>
      <c r="V123" s="1" t="s">
        <v>114</v>
      </c>
      <c r="W123" s="1" t="s">
        <v>129</v>
      </c>
      <c r="X123" s="1" t="s">
        <v>228</v>
      </c>
      <c r="Y123" s="1" t="s">
        <v>864</v>
      </c>
      <c r="Z123" s="1" t="s">
        <v>115</v>
      </c>
      <c r="AA123" s="1" t="s">
        <v>130</v>
      </c>
      <c r="AB123" s="1" t="s">
        <v>408</v>
      </c>
      <c r="AC123" s="1" t="s">
        <v>131</v>
      </c>
      <c r="AD123" s="3" t="s">
        <v>1003</v>
      </c>
      <c r="AE123" s="1"/>
      <c r="AF123" s="1"/>
      <c r="AG123" s="1" t="s">
        <v>74</v>
      </c>
      <c r="AH123" s="1"/>
      <c r="AI123" s="1" t="s">
        <v>114</v>
      </c>
      <c r="AJ123" s="1" t="s">
        <v>94</v>
      </c>
      <c r="AK123" s="1" t="s">
        <v>76</v>
      </c>
      <c r="AL123" s="1" t="s">
        <v>104</v>
      </c>
      <c r="AM123" s="1" t="s">
        <v>182</v>
      </c>
      <c r="AN123" s="1" t="s">
        <v>105</v>
      </c>
      <c r="AO123" s="1" t="s">
        <v>167</v>
      </c>
      <c r="AP123" s="1"/>
      <c r="AQ123" s="1"/>
      <c r="AR123" s="3" t="s">
        <v>1004</v>
      </c>
      <c r="AS123" s="1" t="s">
        <v>83</v>
      </c>
      <c r="AT123" s="1" t="s">
        <v>84</v>
      </c>
    </row>
    <row r="124" spans="1:46" ht="19.899999999999999" customHeight="1" x14ac:dyDescent="0.25">
      <c r="A124" s="1" t="s">
        <v>857</v>
      </c>
      <c r="B124" s="1" t="s">
        <v>868</v>
      </c>
      <c r="C124" s="1" t="s">
        <v>48</v>
      </c>
      <c r="D124" s="1" t="s">
        <v>86</v>
      </c>
      <c r="E124" s="1" t="s">
        <v>87</v>
      </c>
      <c r="F124" s="1" t="s">
        <v>108</v>
      </c>
      <c r="G124" s="2">
        <v>10190</v>
      </c>
      <c r="H124" s="1" t="s">
        <v>1005</v>
      </c>
      <c r="I124" s="1" t="s">
        <v>1006</v>
      </c>
      <c r="J124" s="1"/>
      <c r="K124" s="1" t="s">
        <v>302</v>
      </c>
      <c r="L124" s="1" t="s">
        <v>55</v>
      </c>
      <c r="M124" s="1" t="s">
        <v>1007</v>
      </c>
      <c r="N124" s="1" t="s">
        <v>1008</v>
      </c>
      <c r="O124" s="1" t="s">
        <v>1009</v>
      </c>
      <c r="P124" s="1" t="s">
        <v>217</v>
      </c>
      <c r="Q124" s="1" t="s">
        <v>1010</v>
      </c>
      <c r="R124" s="1" t="s">
        <v>61</v>
      </c>
      <c r="S124" s="1" t="s">
        <v>863</v>
      </c>
      <c r="T124" t="str">
        <f t="shared" si="1"/>
        <v>ARC-smallbusiness@mail.nasa.gov</v>
      </c>
      <c r="U124" s="1" t="s">
        <v>64</v>
      </c>
      <c r="V124" s="1" t="s">
        <v>143</v>
      </c>
      <c r="W124" s="1" t="s">
        <v>129</v>
      </c>
      <c r="X124" s="1" t="s">
        <v>228</v>
      </c>
      <c r="Y124" s="1" t="s">
        <v>864</v>
      </c>
      <c r="Z124" s="1" t="s">
        <v>98</v>
      </c>
      <c r="AA124" s="1" t="s">
        <v>130</v>
      </c>
      <c r="AB124" s="1" t="s">
        <v>408</v>
      </c>
      <c r="AC124" s="1" t="s">
        <v>131</v>
      </c>
      <c r="AD124" s="3" t="s">
        <v>1011</v>
      </c>
      <c r="AE124" s="1" t="s">
        <v>366</v>
      </c>
      <c r="AF124" s="1" t="s">
        <v>366</v>
      </c>
      <c r="AG124" s="1" t="s">
        <v>74</v>
      </c>
      <c r="AH124" s="1"/>
      <c r="AI124" s="1" t="s">
        <v>115</v>
      </c>
      <c r="AJ124" s="1" t="s">
        <v>64</v>
      </c>
      <c r="AK124" s="1" t="s">
        <v>120</v>
      </c>
      <c r="AL124" s="1" t="s">
        <v>420</v>
      </c>
      <c r="AM124" s="1" t="s">
        <v>77</v>
      </c>
      <c r="AN124" s="1" t="s">
        <v>105</v>
      </c>
      <c r="AO124" s="1" t="s">
        <v>79</v>
      </c>
      <c r="AP124" s="1" t="s">
        <v>120</v>
      </c>
      <c r="AQ124" s="1" t="s">
        <v>76</v>
      </c>
      <c r="AR124" s="3" t="s">
        <v>1011</v>
      </c>
      <c r="AS124" s="1" t="s">
        <v>83</v>
      </c>
      <c r="AT124" s="1" t="s">
        <v>84</v>
      </c>
    </row>
    <row r="125" spans="1:46" ht="19.899999999999999" customHeight="1" x14ac:dyDescent="0.25">
      <c r="A125" s="1" t="s">
        <v>857</v>
      </c>
      <c r="B125" s="1" t="s">
        <v>884</v>
      </c>
      <c r="C125" s="1" t="s">
        <v>48</v>
      </c>
      <c r="D125" s="1" t="s">
        <v>170</v>
      </c>
      <c r="E125" s="1" t="s">
        <v>170</v>
      </c>
      <c r="F125" s="1" t="s">
        <v>171</v>
      </c>
      <c r="G125" s="2">
        <v>10193</v>
      </c>
      <c r="H125" s="1" t="s">
        <v>1012</v>
      </c>
      <c r="I125" s="1" t="s">
        <v>924</v>
      </c>
      <c r="J125" s="1"/>
      <c r="K125" s="1" t="s">
        <v>302</v>
      </c>
      <c r="L125" s="1" t="s">
        <v>55</v>
      </c>
      <c r="M125" s="1" t="s">
        <v>56</v>
      </c>
      <c r="N125" s="1" t="s">
        <v>126</v>
      </c>
      <c r="O125" s="1" t="s">
        <v>127</v>
      </c>
      <c r="P125" s="1" t="s">
        <v>217</v>
      </c>
      <c r="Q125" s="1" t="s">
        <v>60</v>
      </c>
      <c r="R125" s="1" t="s">
        <v>61</v>
      </c>
      <c r="S125" s="1" t="s">
        <v>863</v>
      </c>
      <c r="T125" t="str">
        <f t="shared" si="1"/>
        <v>ARC-smallbusiness@mail.nasa.gov</v>
      </c>
      <c r="U125" s="1" t="s">
        <v>94</v>
      </c>
      <c r="V125" s="1" t="s">
        <v>65</v>
      </c>
      <c r="W125" s="1" t="s">
        <v>129</v>
      </c>
      <c r="X125" s="1" t="s">
        <v>67</v>
      </c>
      <c r="Y125" s="1" t="s">
        <v>1013</v>
      </c>
      <c r="Z125" s="1" t="s">
        <v>115</v>
      </c>
      <c r="AA125" s="1" t="s">
        <v>115</v>
      </c>
      <c r="AB125" s="1" t="s">
        <v>100</v>
      </c>
      <c r="AC125" s="1" t="s">
        <v>334</v>
      </c>
      <c r="AD125" s="3" t="s">
        <v>1014</v>
      </c>
      <c r="AE125" s="1"/>
      <c r="AF125" s="1"/>
      <c r="AG125" s="1" t="s">
        <v>74</v>
      </c>
      <c r="AH125" s="1"/>
      <c r="AI125" s="1" t="s">
        <v>95</v>
      </c>
      <c r="AJ125" s="1" t="s">
        <v>94</v>
      </c>
      <c r="AK125" s="1" t="s">
        <v>76</v>
      </c>
      <c r="AL125" s="1" t="s">
        <v>68</v>
      </c>
      <c r="AM125" s="1" t="s">
        <v>133</v>
      </c>
      <c r="AN125" s="1" t="s">
        <v>115</v>
      </c>
      <c r="AO125" s="1" t="s">
        <v>74</v>
      </c>
      <c r="AP125" s="1"/>
      <c r="AQ125" s="1"/>
      <c r="AR125" s="3" t="s">
        <v>1015</v>
      </c>
      <c r="AS125" s="1" t="s">
        <v>83</v>
      </c>
      <c r="AT125" s="1" t="s">
        <v>84</v>
      </c>
    </row>
    <row r="126" spans="1:46" ht="19.899999999999999" customHeight="1" x14ac:dyDescent="0.25">
      <c r="A126" s="1" t="s">
        <v>857</v>
      </c>
      <c r="B126" s="1" t="s">
        <v>884</v>
      </c>
      <c r="C126" s="1" t="s">
        <v>48</v>
      </c>
      <c r="D126" s="1" t="s">
        <v>298</v>
      </c>
      <c r="E126" s="1" t="s">
        <v>87</v>
      </c>
      <c r="F126" s="1" t="s">
        <v>108</v>
      </c>
      <c r="G126" s="2">
        <v>10194</v>
      </c>
      <c r="H126" s="1" t="s">
        <v>1016</v>
      </c>
      <c r="I126" s="1" t="s">
        <v>886</v>
      </c>
      <c r="J126" s="1"/>
      <c r="K126" s="1" t="s">
        <v>302</v>
      </c>
      <c r="L126" s="1" t="s">
        <v>55</v>
      </c>
      <c r="M126" s="1" t="s">
        <v>522</v>
      </c>
      <c r="N126" s="1" t="s">
        <v>91</v>
      </c>
      <c r="O126" s="1" t="s">
        <v>92</v>
      </c>
      <c r="P126" s="1" t="s">
        <v>305</v>
      </c>
      <c r="Q126" s="1" t="s">
        <v>525</v>
      </c>
      <c r="R126" s="1" t="s">
        <v>61</v>
      </c>
      <c r="S126" s="1" t="s">
        <v>863</v>
      </c>
      <c r="T126" t="str">
        <f t="shared" si="1"/>
        <v>ARC-smallbusiness@mail.nasa.gov</v>
      </c>
      <c r="U126" s="1" t="s">
        <v>94</v>
      </c>
      <c r="V126" s="1" t="s">
        <v>114</v>
      </c>
      <c r="W126" s="1" t="s">
        <v>129</v>
      </c>
      <c r="X126" s="1" t="s">
        <v>67</v>
      </c>
      <c r="Y126" s="1" t="s">
        <v>864</v>
      </c>
      <c r="Z126" s="1" t="s">
        <v>69</v>
      </c>
      <c r="AA126" s="1" t="s">
        <v>790</v>
      </c>
      <c r="AB126" s="1" t="s">
        <v>100</v>
      </c>
      <c r="AC126" s="1" t="s">
        <v>247</v>
      </c>
      <c r="AD126" s="3" t="s">
        <v>1017</v>
      </c>
      <c r="AE126" s="1" t="s">
        <v>73</v>
      </c>
      <c r="AF126" s="1" t="s">
        <v>144</v>
      </c>
      <c r="AG126" s="1" t="s">
        <v>74</v>
      </c>
      <c r="AH126" s="1"/>
      <c r="AI126" s="1" t="s">
        <v>114</v>
      </c>
      <c r="AJ126" s="1" t="s">
        <v>94</v>
      </c>
      <c r="AK126" s="1" t="s">
        <v>76</v>
      </c>
      <c r="AL126" s="1" t="s">
        <v>104</v>
      </c>
      <c r="AM126" s="1" t="s">
        <v>77</v>
      </c>
      <c r="AN126" s="1" t="s">
        <v>78</v>
      </c>
      <c r="AO126" s="1" t="s">
        <v>79</v>
      </c>
      <c r="AP126" s="1" t="s">
        <v>76</v>
      </c>
      <c r="AQ126" s="1" t="s">
        <v>120</v>
      </c>
      <c r="AR126" s="3" t="s">
        <v>1018</v>
      </c>
      <c r="AS126" s="1" t="s">
        <v>83</v>
      </c>
      <c r="AT126" s="1" t="s">
        <v>84</v>
      </c>
    </row>
    <row r="127" spans="1:46" ht="19.899999999999999" customHeight="1" x14ac:dyDescent="0.25">
      <c r="A127" s="1" t="s">
        <v>857</v>
      </c>
      <c r="B127" s="1"/>
      <c r="C127" s="1" t="s">
        <v>48</v>
      </c>
      <c r="D127" s="1" t="s">
        <v>298</v>
      </c>
      <c r="E127" s="1" t="s">
        <v>87</v>
      </c>
      <c r="F127" s="1" t="s">
        <v>108</v>
      </c>
      <c r="G127" s="2">
        <v>10197</v>
      </c>
      <c r="H127" s="1" t="s">
        <v>1019</v>
      </c>
      <c r="I127" s="1" t="s">
        <v>859</v>
      </c>
      <c r="J127" s="1"/>
      <c r="K127" s="1" t="s">
        <v>302</v>
      </c>
      <c r="L127" s="1" t="s">
        <v>55</v>
      </c>
      <c r="M127" s="1" t="s">
        <v>314</v>
      </c>
      <c r="N127" s="1" t="s">
        <v>861</v>
      </c>
      <c r="O127" s="1" t="s">
        <v>862</v>
      </c>
      <c r="P127" s="1" t="s">
        <v>317</v>
      </c>
      <c r="Q127" s="1" t="s">
        <v>318</v>
      </c>
      <c r="R127" s="1" t="s">
        <v>61</v>
      </c>
      <c r="S127" s="1" t="s">
        <v>863</v>
      </c>
      <c r="T127" t="str">
        <f t="shared" si="1"/>
        <v>ARC-smallbusiness@mail.nasa.gov</v>
      </c>
      <c r="U127" s="1" t="s">
        <v>811</v>
      </c>
      <c r="V127" s="1" t="s">
        <v>65</v>
      </c>
      <c r="W127" s="1" t="s">
        <v>66</v>
      </c>
      <c r="X127" s="1" t="s">
        <v>73</v>
      </c>
      <c r="Y127" s="1" t="s">
        <v>864</v>
      </c>
      <c r="Z127" s="1" t="s">
        <v>115</v>
      </c>
      <c r="AA127" s="1" t="s">
        <v>130</v>
      </c>
      <c r="AB127" s="1" t="s">
        <v>408</v>
      </c>
      <c r="AC127" s="1" t="s">
        <v>1020</v>
      </c>
      <c r="AD127" s="3" t="s">
        <v>1021</v>
      </c>
      <c r="AE127" s="1" t="s">
        <v>352</v>
      </c>
      <c r="AF127" s="1" t="s">
        <v>73</v>
      </c>
      <c r="AG127" s="1" t="s">
        <v>74</v>
      </c>
      <c r="AH127" s="1"/>
      <c r="AI127" s="1" t="s">
        <v>65</v>
      </c>
      <c r="AJ127" s="1" t="s">
        <v>679</v>
      </c>
      <c r="AK127" s="1" t="s">
        <v>76</v>
      </c>
      <c r="AL127" s="1" t="s">
        <v>104</v>
      </c>
      <c r="AM127" s="1" t="s">
        <v>77</v>
      </c>
      <c r="AN127" s="1" t="s">
        <v>105</v>
      </c>
      <c r="AO127" s="1" t="s">
        <v>79</v>
      </c>
      <c r="AP127" s="1" t="s">
        <v>120</v>
      </c>
      <c r="AQ127" s="1" t="s">
        <v>443</v>
      </c>
      <c r="AR127" s="3" t="s">
        <v>1022</v>
      </c>
      <c r="AS127" s="1" t="s">
        <v>83</v>
      </c>
      <c r="AT127" s="1" t="s">
        <v>84</v>
      </c>
    </row>
    <row r="128" spans="1:46" ht="19.899999999999999" customHeight="1" x14ac:dyDescent="0.25">
      <c r="A128" s="1" t="s">
        <v>1023</v>
      </c>
      <c r="B128" s="1" t="s">
        <v>1024</v>
      </c>
      <c r="C128" s="1" t="s">
        <v>48</v>
      </c>
      <c r="D128" s="1" t="s">
        <v>49</v>
      </c>
      <c r="E128" s="1" t="s">
        <v>49</v>
      </c>
      <c r="F128" s="1" t="s">
        <v>49</v>
      </c>
      <c r="G128" s="2">
        <v>910</v>
      </c>
      <c r="H128" s="1" t="s">
        <v>1025</v>
      </c>
      <c r="I128" s="1" t="s">
        <v>1026</v>
      </c>
      <c r="J128" s="1" t="s">
        <v>1027</v>
      </c>
      <c r="K128" s="1" t="s">
        <v>302</v>
      </c>
      <c r="L128" s="1" t="s">
        <v>55</v>
      </c>
      <c r="M128" s="1" t="s">
        <v>139</v>
      </c>
      <c r="N128" s="1" t="s">
        <v>1028</v>
      </c>
      <c r="O128" s="1" t="s">
        <v>1029</v>
      </c>
      <c r="P128" s="1" t="s">
        <v>112</v>
      </c>
      <c r="Q128" s="1" t="s">
        <v>142</v>
      </c>
      <c r="R128" s="1" t="s">
        <v>115</v>
      </c>
      <c r="S128" s="1"/>
      <c r="T128" t="str">
        <f t="shared" si="1"/>
        <v>AFRC-smallbusiness@mail.nasa.gov</v>
      </c>
      <c r="U128" s="1" t="s">
        <v>64</v>
      </c>
      <c r="V128" s="1" t="s">
        <v>65</v>
      </c>
      <c r="W128" s="1" t="s">
        <v>66</v>
      </c>
      <c r="X128" s="1" t="s">
        <v>192</v>
      </c>
      <c r="Y128" s="1" t="s">
        <v>68</v>
      </c>
      <c r="Z128" s="1" t="s">
        <v>899</v>
      </c>
      <c r="AA128" s="1" t="s">
        <v>165</v>
      </c>
      <c r="AB128" s="1" t="s">
        <v>146</v>
      </c>
      <c r="AC128" s="1" t="s">
        <v>72</v>
      </c>
      <c r="AD128" s="3"/>
      <c r="AE128" s="1"/>
      <c r="AF128" s="1"/>
      <c r="AG128" s="1" t="s">
        <v>74</v>
      </c>
      <c r="AH128" s="1"/>
      <c r="AI128" s="1" t="s">
        <v>143</v>
      </c>
      <c r="AJ128" s="1" t="s">
        <v>75</v>
      </c>
      <c r="AK128" s="1" t="s">
        <v>76</v>
      </c>
      <c r="AL128" s="1" t="s">
        <v>197</v>
      </c>
      <c r="AM128" s="1" t="s">
        <v>149</v>
      </c>
      <c r="AN128" s="1" t="s">
        <v>115</v>
      </c>
      <c r="AO128" s="1" t="s">
        <v>74</v>
      </c>
      <c r="AP128" s="1"/>
      <c r="AQ128" s="1"/>
      <c r="AR128" s="3" t="s">
        <v>1030</v>
      </c>
      <c r="AS128" s="1" t="s">
        <v>83</v>
      </c>
      <c r="AT128" s="1" t="s">
        <v>84</v>
      </c>
    </row>
    <row r="129" spans="1:46" ht="19.899999999999999" customHeight="1" x14ac:dyDescent="0.25">
      <c r="A129" s="1" t="s">
        <v>1023</v>
      </c>
      <c r="B129" s="1" t="s">
        <v>1024</v>
      </c>
      <c r="C129" s="1" t="s">
        <v>48</v>
      </c>
      <c r="D129" s="1" t="s">
        <v>170</v>
      </c>
      <c r="E129" s="1" t="s">
        <v>170</v>
      </c>
      <c r="F129" s="1" t="s">
        <v>108</v>
      </c>
      <c r="G129" s="2">
        <v>10034</v>
      </c>
      <c r="H129" s="1" t="s">
        <v>1031</v>
      </c>
      <c r="I129" s="1" t="s">
        <v>1032</v>
      </c>
      <c r="J129" s="1" t="s">
        <v>1033</v>
      </c>
      <c r="K129" s="1" t="s">
        <v>302</v>
      </c>
      <c r="L129" s="1" t="s">
        <v>55</v>
      </c>
      <c r="M129" s="1" t="s">
        <v>161</v>
      </c>
      <c r="N129" s="1" t="s">
        <v>1034</v>
      </c>
      <c r="O129" s="1" t="s">
        <v>1035</v>
      </c>
      <c r="P129" s="1" t="s">
        <v>217</v>
      </c>
      <c r="Q129" s="1" t="s">
        <v>164</v>
      </c>
      <c r="R129" s="1" t="s">
        <v>61</v>
      </c>
      <c r="S129" s="1"/>
      <c r="T129" t="str">
        <f t="shared" si="1"/>
        <v>AFRC-smallbusiness@mail.nasa.gov</v>
      </c>
      <c r="U129" s="1" t="s">
        <v>94</v>
      </c>
      <c r="V129" s="1" t="s">
        <v>95</v>
      </c>
      <c r="W129" s="1" t="s">
        <v>66</v>
      </c>
      <c r="X129" s="1" t="s">
        <v>144</v>
      </c>
      <c r="Y129" s="1" t="s">
        <v>1036</v>
      </c>
      <c r="Z129" s="1" t="s">
        <v>98</v>
      </c>
      <c r="AA129" s="1" t="s">
        <v>130</v>
      </c>
      <c r="AB129" s="1" t="s">
        <v>155</v>
      </c>
      <c r="AC129" s="1" t="s">
        <v>101</v>
      </c>
      <c r="AD129" s="3" t="s">
        <v>1037</v>
      </c>
      <c r="AE129" s="1" t="s">
        <v>352</v>
      </c>
      <c r="AF129" s="1" t="s">
        <v>352</v>
      </c>
      <c r="AG129" s="1" t="s">
        <v>74</v>
      </c>
      <c r="AH129" s="1" t="s">
        <v>1038</v>
      </c>
      <c r="AI129" s="1" t="s">
        <v>143</v>
      </c>
      <c r="AJ129" s="1" t="s">
        <v>64</v>
      </c>
      <c r="AK129" s="1" t="s">
        <v>76</v>
      </c>
      <c r="AL129" s="1" t="s">
        <v>295</v>
      </c>
      <c r="AM129" s="1" t="s">
        <v>77</v>
      </c>
      <c r="AN129" s="1" t="s">
        <v>105</v>
      </c>
      <c r="AO129" s="1" t="s">
        <v>79</v>
      </c>
      <c r="AP129" s="1" t="s">
        <v>80</v>
      </c>
      <c r="AQ129" s="1" t="s">
        <v>120</v>
      </c>
      <c r="AR129" s="3" t="s">
        <v>1039</v>
      </c>
      <c r="AS129" s="1" t="s">
        <v>83</v>
      </c>
      <c r="AT129" s="1" t="s">
        <v>84</v>
      </c>
    </row>
    <row r="130" spans="1:46" ht="19.899999999999999" customHeight="1" x14ac:dyDescent="0.25">
      <c r="A130" s="1" t="s">
        <v>1023</v>
      </c>
      <c r="B130" s="1" t="s">
        <v>1024</v>
      </c>
      <c r="C130" s="1" t="s">
        <v>48</v>
      </c>
      <c r="D130" s="1" t="s">
        <v>86</v>
      </c>
      <c r="E130" s="1" t="s">
        <v>87</v>
      </c>
      <c r="F130" s="1" t="s">
        <v>108</v>
      </c>
      <c r="G130" s="2">
        <v>10066</v>
      </c>
      <c r="H130" s="1" t="s">
        <v>1040</v>
      </c>
      <c r="I130" s="1" t="s">
        <v>1041</v>
      </c>
      <c r="J130" s="1" t="s">
        <v>1042</v>
      </c>
      <c r="K130" s="1" t="s">
        <v>302</v>
      </c>
      <c r="L130" s="1" t="s">
        <v>55</v>
      </c>
      <c r="M130" s="1" t="s">
        <v>236</v>
      </c>
      <c r="N130" s="1" t="s">
        <v>1043</v>
      </c>
      <c r="O130" s="1" t="s">
        <v>1044</v>
      </c>
      <c r="P130" s="1" t="s">
        <v>246</v>
      </c>
      <c r="Q130" s="1" t="s">
        <v>237</v>
      </c>
      <c r="R130" s="1" t="s">
        <v>61</v>
      </c>
      <c r="S130" s="1"/>
      <c r="T130" t="str">
        <f t="shared" si="1"/>
        <v>AFRC-smallbusiness@mail.nasa.gov</v>
      </c>
      <c r="U130" s="1" t="s">
        <v>94</v>
      </c>
      <c r="V130" s="1" t="s">
        <v>95</v>
      </c>
      <c r="W130" s="1" t="s">
        <v>129</v>
      </c>
      <c r="X130" s="1" t="s">
        <v>366</v>
      </c>
      <c r="Y130" s="1" t="s">
        <v>1045</v>
      </c>
      <c r="Z130" s="1" t="s">
        <v>115</v>
      </c>
      <c r="AA130" s="1" t="s">
        <v>130</v>
      </c>
      <c r="AB130" s="1" t="s">
        <v>87</v>
      </c>
      <c r="AC130" s="1" t="s">
        <v>101</v>
      </c>
      <c r="AD130" s="3" t="s">
        <v>1046</v>
      </c>
      <c r="AE130" s="1"/>
      <c r="AF130" s="1"/>
      <c r="AG130" s="1" t="s">
        <v>74</v>
      </c>
      <c r="AH130" s="1"/>
      <c r="AI130" s="1" t="s">
        <v>114</v>
      </c>
      <c r="AJ130" s="1" t="s">
        <v>94</v>
      </c>
      <c r="AK130" s="1" t="s">
        <v>345</v>
      </c>
      <c r="AL130" s="1" t="s">
        <v>68</v>
      </c>
      <c r="AM130" s="1" t="s">
        <v>77</v>
      </c>
      <c r="AN130" s="1" t="s">
        <v>115</v>
      </c>
      <c r="AO130" s="1" t="s">
        <v>74</v>
      </c>
      <c r="AP130" s="1"/>
      <c r="AQ130" s="1"/>
      <c r="AR130" s="3" t="s">
        <v>1047</v>
      </c>
      <c r="AS130" s="1" t="s">
        <v>83</v>
      </c>
      <c r="AT130" s="1" t="s">
        <v>84</v>
      </c>
    </row>
    <row r="131" spans="1:46" ht="19.899999999999999" customHeight="1" x14ac:dyDescent="0.25">
      <c r="A131" s="1" t="s">
        <v>1023</v>
      </c>
      <c r="B131" s="1" t="s">
        <v>1024</v>
      </c>
      <c r="C131" s="1" t="s">
        <v>48</v>
      </c>
      <c r="D131" s="1" t="s">
        <v>49</v>
      </c>
      <c r="E131" s="1" t="s">
        <v>49</v>
      </c>
      <c r="F131" s="1" t="s">
        <v>49</v>
      </c>
      <c r="G131" s="2">
        <v>10152</v>
      </c>
      <c r="H131" s="1" t="s">
        <v>1048</v>
      </c>
      <c r="I131" s="1" t="s">
        <v>1049</v>
      </c>
      <c r="J131" s="1" t="s">
        <v>1050</v>
      </c>
      <c r="K131" s="1" t="s">
        <v>302</v>
      </c>
      <c r="L131" s="1" t="s">
        <v>55</v>
      </c>
      <c r="M131" s="1" t="s">
        <v>329</v>
      </c>
      <c r="N131" s="1" t="s">
        <v>761</v>
      </c>
      <c r="O131" s="1" t="s">
        <v>762</v>
      </c>
      <c r="P131" s="1" t="s">
        <v>112</v>
      </c>
      <c r="Q131" s="1" t="s">
        <v>332</v>
      </c>
      <c r="R131" s="1" t="s">
        <v>61</v>
      </c>
      <c r="S131" s="1"/>
      <c r="T131" t="str">
        <f t="shared" si="1"/>
        <v>AFRC-smallbusiness@mail.nasa.gov</v>
      </c>
      <c r="U131" s="1" t="s">
        <v>64</v>
      </c>
      <c r="V131" s="1" t="s">
        <v>143</v>
      </c>
      <c r="W131" s="1" t="s">
        <v>129</v>
      </c>
      <c r="X131" s="1" t="s">
        <v>343</v>
      </c>
      <c r="Y131" s="1" t="s">
        <v>1036</v>
      </c>
      <c r="Z131" s="1" t="s">
        <v>98</v>
      </c>
      <c r="AA131" s="1" t="s">
        <v>130</v>
      </c>
      <c r="AB131" s="1" t="s">
        <v>146</v>
      </c>
      <c r="AC131" s="1" t="s">
        <v>131</v>
      </c>
      <c r="AD131" s="3" t="s">
        <v>1051</v>
      </c>
      <c r="AE131" s="1"/>
      <c r="AF131" s="1"/>
      <c r="AG131" s="1" t="s">
        <v>74</v>
      </c>
      <c r="AH131" s="1"/>
      <c r="AI131" s="1" t="s">
        <v>143</v>
      </c>
      <c r="AJ131" s="1" t="s">
        <v>64</v>
      </c>
      <c r="AK131" s="1" t="s">
        <v>120</v>
      </c>
      <c r="AL131" s="1" t="s">
        <v>68</v>
      </c>
      <c r="AM131" s="1" t="s">
        <v>149</v>
      </c>
      <c r="AN131" s="1" t="s">
        <v>105</v>
      </c>
      <c r="AO131" s="1" t="s">
        <v>167</v>
      </c>
      <c r="AP131" s="1"/>
      <c r="AQ131" s="1"/>
      <c r="AR131" s="3" t="s">
        <v>1052</v>
      </c>
      <c r="AS131" s="1" t="s">
        <v>83</v>
      </c>
      <c r="AT131" s="1" t="s">
        <v>84</v>
      </c>
    </row>
    <row r="132" spans="1:46" ht="19.899999999999999" customHeight="1" x14ac:dyDescent="0.25">
      <c r="A132" s="1" t="s">
        <v>1023</v>
      </c>
      <c r="B132" s="1"/>
      <c r="C132" s="1" t="s">
        <v>48</v>
      </c>
      <c r="D132" s="1" t="s">
        <v>49</v>
      </c>
      <c r="E132" s="1" t="s">
        <v>49</v>
      </c>
      <c r="F132" s="1" t="s">
        <v>50</v>
      </c>
      <c r="G132" s="2">
        <v>10153</v>
      </c>
      <c r="H132" s="1" t="s">
        <v>1053</v>
      </c>
      <c r="I132" s="1" t="s">
        <v>1054</v>
      </c>
      <c r="J132" s="1" t="s">
        <v>1055</v>
      </c>
      <c r="K132" s="1" t="s">
        <v>153</v>
      </c>
      <c r="L132" s="1" t="s">
        <v>55</v>
      </c>
      <c r="M132" s="1" t="s">
        <v>1056</v>
      </c>
      <c r="N132" s="1" t="s">
        <v>1057</v>
      </c>
      <c r="O132" s="1" t="s">
        <v>1058</v>
      </c>
      <c r="P132" s="1" t="s">
        <v>246</v>
      </c>
      <c r="Q132" s="1" t="s">
        <v>1059</v>
      </c>
      <c r="R132" s="1" t="s">
        <v>115</v>
      </c>
      <c r="S132" s="1"/>
      <c r="T132" t="str">
        <f t="shared" si="1"/>
        <v>AFRC-smallbusiness@mail.nasa.gov</v>
      </c>
      <c r="U132" s="1" t="s">
        <v>94</v>
      </c>
      <c r="V132" s="1" t="s">
        <v>95</v>
      </c>
      <c r="W132" s="1" t="s">
        <v>129</v>
      </c>
      <c r="X132" s="1" t="s">
        <v>238</v>
      </c>
      <c r="Y132" s="1"/>
      <c r="Z132" s="1" t="s">
        <v>98</v>
      </c>
      <c r="AA132" s="1" t="s">
        <v>165</v>
      </c>
      <c r="AB132" s="1" t="s">
        <v>87</v>
      </c>
      <c r="AC132" s="1" t="s">
        <v>101</v>
      </c>
      <c r="AD132" s="3" t="s">
        <v>1060</v>
      </c>
      <c r="AE132" s="1"/>
      <c r="AF132" s="1"/>
      <c r="AG132" s="1" t="s">
        <v>74</v>
      </c>
      <c r="AH132" s="1"/>
      <c r="AI132" s="1" t="s">
        <v>143</v>
      </c>
      <c r="AJ132" s="1" t="s">
        <v>64</v>
      </c>
      <c r="AK132" s="1" t="s">
        <v>76</v>
      </c>
      <c r="AL132" s="1" t="s">
        <v>197</v>
      </c>
      <c r="AM132" s="1" t="s">
        <v>77</v>
      </c>
      <c r="AN132" s="1" t="s">
        <v>105</v>
      </c>
      <c r="AO132" s="1" t="s">
        <v>167</v>
      </c>
      <c r="AP132" s="1"/>
      <c r="AQ132" s="1"/>
      <c r="AR132" s="3" t="s">
        <v>1061</v>
      </c>
      <c r="AS132" s="1" t="s">
        <v>83</v>
      </c>
      <c r="AT132" s="1" t="s">
        <v>84</v>
      </c>
    </row>
    <row r="133" spans="1:46" ht="19.899999999999999" customHeight="1" x14ac:dyDescent="0.25">
      <c r="A133" s="1" t="s">
        <v>1023</v>
      </c>
      <c r="B133" s="1" t="s">
        <v>1024</v>
      </c>
      <c r="C133" s="1" t="s">
        <v>48</v>
      </c>
      <c r="D133" s="1" t="s">
        <v>86</v>
      </c>
      <c r="E133" s="1" t="s">
        <v>87</v>
      </c>
      <c r="F133" s="1" t="s">
        <v>108</v>
      </c>
      <c r="G133" s="2">
        <v>10154</v>
      </c>
      <c r="H133" s="1" t="s">
        <v>1062</v>
      </c>
      <c r="I133" s="1" t="s">
        <v>1063</v>
      </c>
      <c r="J133" s="1" t="s">
        <v>1064</v>
      </c>
      <c r="K133" s="1" t="s">
        <v>302</v>
      </c>
      <c r="L133" s="1" t="s">
        <v>55</v>
      </c>
      <c r="M133" s="1" t="s">
        <v>56</v>
      </c>
      <c r="N133" s="1" t="s">
        <v>1065</v>
      </c>
      <c r="O133" s="1" t="s">
        <v>1066</v>
      </c>
      <c r="P133" s="1" t="s">
        <v>217</v>
      </c>
      <c r="Q133" s="1" t="s">
        <v>60</v>
      </c>
      <c r="R133" s="1" t="s">
        <v>61</v>
      </c>
      <c r="S133" s="1"/>
      <c r="T133" t="str">
        <f t="shared" si="1"/>
        <v>AFRC-smallbusiness@mail.nasa.gov</v>
      </c>
      <c r="U133" s="1" t="s">
        <v>94</v>
      </c>
      <c r="V133" s="1" t="s">
        <v>143</v>
      </c>
      <c r="W133" s="1" t="s">
        <v>66</v>
      </c>
      <c r="X133" s="1" t="s">
        <v>118</v>
      </c>
      <c r="Y133" s="1" t="s">
        <v>1036</v>
      </c>
      <c r="Z133" s="1" t="s">
        <v>115</v>
      </c>
      <c r="AA133" s="1" t="s">
        <v>70</v>
      </c>
      <c r="AB133" s="1" t="s">
        <v>100</v>
      </c>
      <c r="AC133" s="1" t="s">
        <v>166</v>
      </c>
      <c r="AD133" s="3" t="s">
        <v>1067</v>
      </c>
      <c r="AE133" s="1"/>
      <c r="AF133" s="1"/>
      <c r="AG133" s="1" t="s">
        <v>74</v>
      </c>
      <c r="AH133" s="1"/>
      <c r="AI133" s="1" t="s">
        <v>95</v>
      </c>
      <c r="AJ133" s="1" t="s">
        <v>94</v>
      </c>
      <c r="AK133" s="1" t="s">
        <v>103</v>
      </c>
      <c r="AL133" s="1" t="s">
        <v>104</v>
      </c>
      <c r="AM133" s="1" t="s">
        <v>77</v>
      </c>
      <c r="AN133" s="1" t="s">
        <v>115</v>
      </c>
      <c r="AO133" s="1" t="s">
        <v>167</v>
      </c>
      <c r="AP133" s="1"/>
      <c r="AQ133" s="1"/>
      <c r="AR133" s="3" t="s">
        <v>1068</v>
      </c>
      <c r="AS133" s="1" t="s">
        <v>83</v>
      </c>
      <c r="AT133" s="1" t="s">
        <v>84</v>
      </c>
    </row>
    <row r="134" spans="1:46" ht="19.899999999999999" customHeight="1" x14ac:dyDescent="0.25">
      <c r="A134" s="1" t="s">
        <v>1023</v>
      </c>
      <c r="B134" s="1" t="s">
        <v>1024</v>
      </c>
      <c r="C134" s="1" t="s">
        <v>48</v>
      </c>
      <c r="D134" s="1" t="s">
        <v>86</v>
      </c>
      <c r="E134" s="1" t="s">
        <v>87</v>
      </c>
      <c r="F134" s="1" t="s">
        <v>108</v>
      </c>
      <c r="G134" s="2">
        <v>10155</v>
      </c>
      <c r="H134" s="1" t="s">
        <v>1069</v>
      </c>
      <c r="I134" s="1" t="s">
        <v>1070</v>
      </c>
      <c r="J134" s="1" t="s">
        <v>1071</v>
      </c>
      <c r="K134" s="1" t="s">
        <v>302</v>
      </c>
      <c r="L134" s="1" t="s">
        <v>55</v>
      </c>
      <c r="M134" s="1" t="s">
        <v>314</v>
      </c>
      <c r="N134" s="1" t="s">
        <v>1072</v>
      </c>
      <c r="O134" s="1" t="s">
        <v>1073</v>
      </c>
      <c r="P134" s="1" t="s">
        <v>112</v>
      </c>
      <c r="Q134" s="1" t="s">
        <v>318</v>
      </c>
      <c r="R134" s="1" t="s">
        <v>61</v>
      </c>
      <c r="S134" s="1"/>
      <c r="T134" t="str">
        <f t="shared" si="1"/>
        <v>AFRC-smallbusiness@mail.nasa.gov</v>
      </c>
      <c r="U134" s="1" t="s">
        <v>94</v>
      </c>
      <c r="V134" s="1" t="s">
        <v>95</v>
      </c>
      <c r="W134" s="1" t="s">
        <v>66</v>
      </c>
      <c r="X134" s="1" t="s">
        <v>144</v>
      </c>
      <c r="Y134" s="1" t="s">
        <v>1036</v>
      </c>
      <c r="Z134" s="1" t="s">
        <v>115</v>
      </c>
      <c r="AA134" s="1" t="s">
        <v>130</v>
      </c>
      <c r="AB134" s="1" t="s">
        <v>408</v>
      </c>
      <c r="AC134" s="1" t="s">
        <v>101</v>
      </c>
      <c r="AD134" s="3" t="s">
        <v>1074</v>
      </c>
      <c r="AE134" s="1"/>
      <c r="AF134" s="1"/>
      <c r="AG134" s="1" t="s">
        <v>74</v>
      </c>
      <c r="AH134" s="1"/>
      <c r="AI134" s="1" t="s">
        <v>114</v>
      </c>
      <c r="AJ134" s="1" t="s">
        <v>94</v>
      </c>
      <c r="AK134" s="1" t="s">
        <v>76</v>
      </c>
      <c r="AL134" s="1" t="s">
        <v>295</v>
      </c>
      <c r="AM134" s="1" t="s">
        <v>77</v>
      </c>
      <c r="AN134" s="1" t="s">
        <v>115</v>
      </c>
      <c r="AO134" s="1" t="s">
        <v>167</v>
      </c>
      <c r="AP134" s="1"/>
      <c r="AQ134" s="1"/>
      <c r="AR134" s="3" t="s">
        <v>1075</v>
      </c>
      <c r="AS134" s="1" t="s">
        <v>83</v>
      </c>
      <c r="AT134" s="1" t="s">
        <v>84</v>
      </c>
    </row>
    <row r="135" spans="1:46" ht="19.899999999999999" customHeight="1" x14ac:dyDescent="0.25">
      <c r="A135" s="1" t="s">
        <v>1023</v>
      </c>
      <c r="B135" s="1" t="s">
        <v>1024</v>
      </c>
      <c r="C135" s="1" t="s">
        <v>48</v>
      </c>
      <c r="D135" s="1" t="s">
        <v>170</v>
      </c>
      <c r="E135" s="1" t="s">
        <v>170</v>
      </c>
      <c r="F135" s="1" t="s">
        <v>108</v>
      </c>
      <c r="G135" s="2">
        <v>10160</v>
      </c>
      <c r="H135" s="1" t="s">
        <v>1076</v>
      </c>
      <c r="I135" s="1" t="s">
        <v>1077</v>
      </c>
      <c r="J135" s="1"/>
      <c r="K135" s="1" t="s">
        <v>153</v>
      </c>
      <c r="L135" s="1" t="s">
        <v>55</v>
      </c>
      <c r="M135" s="1" t="s">
        <v>1078</v>
      </c>
      <c r="N135" s="1" t="s">
        <v>1000</v>
      </c>
      <c r="O135" s="1" t="s">
        <v>1001</v>
      </c>
      <c r="P135" s="1" t="s">
        <v>217</v>
      </c>
      <c r="Q135" s="1" t="s">
        <v>1079</v>
      </c>
      <c r="R135" s="1" t="s">
        <v>61</v>
      </c>
      <c r="S135" s="1"/>
      <c r="T135" t="str">
        <f t="shared" si="1"/>
        <v>AFRC-smallbusiness@mail.nasa.gov</v>
      </c>
      <c r="U135" s="1" t="s">
        <v>94</v>
      </c>
      <c r="V135" s="1" t="s">
        <v>114</v>
      </c>
      <c r="W135" s="1" t="s">
        <v>129</v>
      </c>
      <c r="X135" s="1" t="s">
        <v>366</v>
      </c>
      <c r="Y135" s="1"/>
      <c r="Z135" s="1" t="s">
        <v>98</v>
      </c>
      <c r="AA135" s="1" t="s">
        <v>130</v>
      </c>
      <c r="AB135" s="1" t="s">
        <v>100</v>
      </c>
      <c r="AC135" s="1" t="s">
        <v>131</v>
      </c>
      <c r="AD135" s="3" t="s">
        <v>1080</v>
      </c>
      <c r="AE135" s="1" t="s">
        <v>366</v>
      </c>
      <c r="AF135" s="1" t="s">
        <v>409</v>
      </c>
      <c r="AG135" s="1" t="s">
        <v>74</v>
      </c>
      <c r="AH135" s="1" t="s">
        <v>1081</v>
      </c>
      <c r="AI135" s="1" t="s">
        <v>143</v>
      </c>
      <c r="AJ135" s="1" t="s">
        <v>64</v>
      </c>
      <c r="AK135" s="1" t="s">
        <v>80</v>
      </c>
      <c r="AL135" s="1" t="s">
        <v>68</v>
      </c>
      <c r="AM135" s="1" t="s">
        <v>77</v>
      </c>
      <c r="AN135" s="1" t="s">
        <v>115</v>
      </c>
      <c r="AO135" s="1" t="s">
        <v>79</v>
      </c>
      <c r="AP135" s="1" t="s">
        <v>120</v>
      </c>
      <c r="AQ135" s="1" t="s">
        <v>120</v>
      </c>
      <c r="AR135" s="3" t="s">
        <v>1082</v>
      </c>
      <c r="AS135" s="1" t="s">
        <v>83</v>
      </c>
      <c r="AT135" s="1" t="s">
        <v>84</v>
      </c>
    </row>
    <row r="136" spans="1:46" ht="19.899999999999999" customHeight="1" x14ac:dyDescent="0.25">
      <c r="A136" s="1" t="s">
        <v>1023</v>
      </c>
      <c r="B136" s="1"/>
      <c r="C136" s="1" t="s">
        <v>48</v>
      </c>
      <c r="D136" s="1" t="s">
        <v>86</v>
      </c>
      <c r="E136" s="1" t="s">
        <v>87</v>
      </c>
      <c r="F136" s="1" t="s">
        <v>108</v>
      </c>
      <c r="G136" s="2">
        <v>10164</v>
      </c>
      <c r="H136" s="1" t="s">
        <v>1083</v>
      </c>
      <c r="I136" s="1" t="s">
        <v>1084</v>
      </c>
      <c r="J136" s="1"/>
      <c r="K136" s="1" t="s">
        <v>302</v>
      </c>
      <c r="L136" s="1" t="s">
        <v>55</v>
      </c>
      <c r="M136" s="1" t="s">
        <v>1078</v>
      </c>
      <c r="N136" s="1" t="s">
        <v>1085</v>
      </c>
      <c r="O136" s="1" t="s">
        <v>1086</v>
      </c>
      <c r="P136" s="1" t="s">
        <v>246</v>
      </c>
      <c r="Q136" s="1" t="s">
        <v>1079</v>
      </c>
      <c r="R136" s="1" t="s">
        <v>61</v>
      </c>
      <c r="S136" s="1"/>
      <c r="T136" t="str">
        <f t="shared" si="1"/>
        <v>AFRC-smallbusiness@mail.nasa.gov</v>
      </c>
      <c r="U136" s="1" t="s">
        <v>94</v>
      </c>
      <c r="V136" s="1" t="s">
        <v>114</v>
      </c>
      <c r="W136" s="1" t="s">
        <v>129</v>
      </c>
      <c r="X136" s="1" t="s">
        <v>343</v>
      </c>
      <c r="Y136" s="1"/>
      <c r="Z136" s="1" t="s">
        <v>115</v>
      </c>
      <c r="AA136" s="1" t="s">
        <v>130</v>
      </c>
      <c r="AB136" s="1" t="s">
        <v>87</v>
      </c>
      <c r="AC136" s="1" t="s">
        <v>131</v>
      </c>
      <c r="AD136" s="3" t="s">
        <v>1083</v>
      </c>
      <c r="AE136" s="1"/>
      <c r="AF136" s="1"/>
      <c r="AG136" s="1" t="s">
        <v>74</v>
      </c>
      <c r="AH136" s="1"/>
      <c r="AI136" s="1" t="s">
        <v>65</v>
      </c>
      <c r="AJ136" s="1" t="s">
        <v>64</v>
      </c>
      <c r="AK136" s="1" t="s">
        <v>120</v>
      </c>
      <c r="AL136" s="1" t="s">
        <v>295</v>
      </c>
      <c r="AM136" s="1" t="s">
        <v>182</v>
      </c>
      <c r="AN136" s="1" t="s">
        <v>347</v>
      </c>
      <c r="AO136" s="1" t="s">
        <v>74</v>
      </c>
      <c r="AP136" s="1"/>
      <c r="AQ136" s="1"/>
      <c r="AR136" s="3" t="s">
        <v>1087</v>
      </c>
      <c r="AS136" s="1" t="s">
        <v>83</v>
      </c>
      <c r="AT136" s="1" t="s">
        <v>84</v>
      </c>
    </row>
    <row r="137" spans="1:46" ht="19.899999999999999" customHeight="1" x14ac:dyDescent="0.25">
      <c r="A137" s="1" t="s">
        <v>1023</v>
      </c>
      <c r="B137" s="1" t="s">
        <v>1024</v>
      </c>
      <c r="C137" s="1" t="s">
        <v>48</v>
      </c>
      <c r="D137" s="1" t="s">
        <v>86</v>
      </c>
      <c r="E137" s="1" t="s">
        <v>87</v>
      </c>
      <c r="F137" s="1" t="s">
        <v>108</v>
      </c>
      <c r="G137" s="2">
        <v>10176</v>
      </c>
      <c r="H137" s="1" t="s">
        <v>1088</v>
      </c>
      <c r="I137" s="1" t="s">
        <v>1089</v>
      </c>
      <c r="J137" s="1"/>
      <c r="K137" s="1" t="s">
        <v>302</v>
      </c>
      <c r="L137" s="1" t="s">
        <v>55</v>
      </c>
      <c r="M137" s="1" t="s">
        <v>1090</v>
      </c>
      <c r="N137" s="1" t="s">
        <v>1091</v>
      </c>
      <c r="O137" s="1" t="s">
        <v>1092</v>
      </c>
      <c r="P137" s="1" t="s">
        <v>246</v>
      </c>
      <c r="Q137" s="1" t="s">
        <v>1093</v>
      </c>
      <c r="R137" s="1" t="s">
        <v>61</v>
      </c>
      <c r="S137" s="1"/>
      <c r="T137" t="str">
        <f t="shared" si="1"/>
        <v>AFRC-smallbusiness@mail.nasa.gov</v>
      </c>
      <c r="U137" s="1" t="s">
        <v>94</v>
      </c>
      <c r="V137" s="1" t="s">
        <v>114</v>
      </c>
      <c r="W137" s="1" t="s">
        <v>129</v>
      </c>
      <c r="X137" s="1" t="s">
        <v>409</v>
      </c>
      <c r="Y137" s="1"/>
      <c r="Z137" s="1" t="s">
        <v>115</v>
      </c>
      <c r="AA137" s="1" t="s">
        <v>130</v>
      </c>
      <c r="AB137" s="1" t="s">
        <v>87</v>
      </c>
      <c r="AC137" s="1" t="s">
        <v>131</v>
      </c>
      <c r="AD137" s="3" t="s">
        <v>1094</v>
      </c>
      <c r="AE137" s="1"/>
      <c r="AF137" s="1"/>
      <c r="AG137" s="1" t="s">
        <v>74</v>
      </c>
      <c r="AH137" s="1"/>
      <c r="AI137" s="1" t="s">
        <v>65</v>
      </c>
      <c r="AJ137" s="1" t="s">
        <v>64</v>
      </c>
      <c r="AK137" s="1" t="s">
        <v>120</v>
      </c>
      <c r="AL137" s="1" t="s">
        <v>295</v>
      </c>
      <c r="AM137" s="1" t="s">
        <v>182</v>
      </c>
      <c r="AN137" s="1" t="s">
        <v>347</v>
      </c>
      <c r="AO137" s="1" t="s">
        <v>74</v>
      </c>
      <c r="AP137" s="1"/>
      <c r="AQ137" s="1"/>
      <c r="AR137" s="3" t="s">
        <v>1095</v>
      </c>
      <c r="AS137" s="1" t="s">
        <v>83</v>
      </c>
      <c r="AT137" s="1" t="s">
        <v>84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Forecast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Alagheband, Shadi (HQ-JA010)[NCAPS]</dc:creator>
  <cp:lastModifiedBy>Alagheband, Shadi (HQ-JA010)[NCAPS]</cp:lastModifiedBy>
  <dcterms:created xsi:type="dcterms:W3CDTF">2026-10-23T14:32:52Z</dcterms:created>
  <dcterms:modified xsi:type="dcterms:W3CDTF">2026-10-23T14:36:02Z</dcterms:modified>
</cp:coreProperties>
</file>